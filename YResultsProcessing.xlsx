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mjc/Repos/DR_JAN/compiled_languages_faceoff/"/>
    </mc:Choice>
  </mc:AlternateContent>
  <xr:revisionPtr revIDLastSave="0" documentId="13_ncr:1_{12DE3CF4-4271-C64F-ABB4-8CFC2CEA1BBC}" xr6:coauthVersionLast="47" xr6:coauthVersionMax="47" xr10:uidLastSave="{00000000-0000-0000-0000-000000000000}"/>
  <bookViews>
    <workbookView xWindow="34560" yWindow="-2980" windowWidth="67200" windowHeight="35400" activeTab="8" xr2:uid="{C5CDE186-6000-0547-85E6-BFB7BDD4A356}"/>
  </bookViews>
  <sheets>
    <sheet name="RawData" sheetId="1" r:id="rId1"/>
    <sheet name="Test1-4" sheetId="2" r:id="rId2"/>
    <sheet name="Test2-5" sheetId="3" r:id="rId3"/>
    <sheet name="Test3-6" sheetId="4" r:id="rId4"/>
    <sheet name="Test4-7" sheetId="5" r:id="rId5"/>
    <sheet name="Test5-8" sheetId="6" r:id="rId6"/>
    <sheet name="Test6-2" sheetId="7" r:id="rId7"/>
    <sheet name="Test7-1" sheetId="8" r:id="rId8"/>
    <sheet name="Test8-3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3" i="9" l="1"/>
  <c r="P63" i="9"/>
  <c r="N63" i="9"/>
  <c r="P63" i="8"/>
  <c r="N63" i="8"/>
  <c r="N63" i="7"/>
  <c r="N63" i="6"/>
  <c r="P63" i="5"/>
  <c r="N63" i="5"/>
  <c r="P63" i="4"/>
  <c r="N63" i="4"/>
  <c r="N63" i="3"/>
  <c r="N63" i="2"/>
  <c r="P63" i="2" s="1"/>
  <c r="R63" i="2" s="1"/>
  <c r="J65" i="9" a="1"/>
  <c r="N65" i="9" a="1"/>
  <c r="L65" i="9" a="1"/>
  <c r="H65" i="9" a="1"/>
  <c r="T34" i="9" a="1"/>
  <c r="I34" i="9" a="1"/>
  <c r="W33" i="9" a="1"/>
  <c r="L33" i="9" a="1"/>
  <c r="F33" i="9" a="1"/>
  <c r="T32" i="9" a="1"/>
  <c r="I32" i="9" a="1"/>
  <c r="D32" i="9" a="1"/>
  <c r="X31" i="9" a="1"/>
  <c r="S31" i="9" a="1"/>
  <c r="N31" i="9" a="1"/>
  <c r="I31" i="9" a="1"/>
  <c r="D31" i="9" a="1"/>
  <c r="X30" i="9" a="1"/>
  <c r="S30" i="9" a="1"/>
  <c r="N30" i="9" a="1"/>
  <c r="I30" i="9" a="1"/>
  <c r="D30" i="9" a="1"/>
  <c r="X29" i="9" a="1"/>
  <c r="S29" i="9" a="1"/>
  <c r="N29" i="9" a="1"/>
  <c r="I29" i="9" a="1"/>
  <c r="D29" i="9" a="1"/>
  <c r="X28" i="9" a="1"/>
  <c r="S28" i="9" a="1"/>
  <c r="N28" i="9" a="1"/>
  <c r="I28" i="9" a="1"/>
  <c r="D28" i="9" a="1"/>
  <c r="X27" i="9" a="1"/>
  <c r="S27" i="9" a="1"/>
  <c r="S34" i="9" a="1"/>
  <c r="H34" i="9" a="1"/>
  <c r="V33" i="9" a="1"/>
  <c r="P33" i="9" a="1"/>
  <c r="E33" i="9" a="1"/>
  <c r="S32" i="9" a="1"/>
  <c r="H32" i="9" a="1"/>
  <c r="C32" i="9" a="1"/>
  <c r="W31" i="9" a="1"/>
  <c r="R31" i="9" a="1"/>
  <c r="M31" i="9" a="1"/>
  <c r="H31" i="9" a="1"/>
  <c r="C31" i="9" a="1"/>
  <c r="W30" i="9" a="1"/>
  <c r="R30" i="9" a="1"/>
  <c r="M30" i="9" a="1"/>
  <c r="H30" i="9" a="1"/>
  <c r="C30" i="9" a="1"/>
  <c r="X34" i="9" a="1"/>
  <c r="M34" i="9" a="1"/>
  <c r="AA33" i="9" a="1"/>
  <c r="U33" i="9" a="1"/>
  <c r="J33" i="9" a="1"/>
  <c r="X32" i="9" a="1"/>
  <c r="M32" i="9" a="1"/>
  <c r="R34" i="9" a="1"/>
  <c r="G34" i="9" a="1"/>
  <c r="Z33" i="9" a="1"/>
  <c r="O33" i="9" a="1"/>
  <c r="D33" i="9" a="1"/>
  <c r="R32" i="9" a="1"/>
  <c r="G32" i="9" a="1"/>
  <c r="AA31" i="9" a="1"/>
  <c r="V31" i="9" a="1"/>
  <c r="Q31" i="9" a="1"/>
  <c r="L31" i="9" a="1"/>
  <c r="G31" i="9" a="1"/>
  <c r="AA30" i="9" a="1"/>
  <c r="V30" i="9" a="1"/>
  <c r="Q30" i="9" a="1"/>
  <c r="L30" i="9" a="1"/>
  <c r="AA29" i="9" a="1"/>
  <c r="V29" i="9" a="1"/>
  <c r="Q29" i="9" a="1"/>
  <c r="L29" i="9" a="1"/>
  <c r="W34" i="9" a="1"/>
  <c r="L34" i="9" a="1"/>
  <c r="F34" i="9" a="1"/>
  <c r="T33" i="9" a="1"/>
  <c r="I33" i="9" a="1"/>
  <c r="W32" i="9" a="1"/>
  <c r="L32" i="9" a="1"/>
  <c r="Y34" i="9" a="1"/>
  <c r="N34" i="9" a="1"/>
  <c r="C34" i="9" a="1"/>
  <c r="Q33" i="9" a="1"/>
  <c r="H29" i="9" a="1"/>
  <c r="K28" i="9" a="1"/>
  <c r="V27" i="9" a="1"/>
  <c r="O27" i="9" a="1"/>
  <c r="I27" i="9" a="1"/>
  <c r="C27" i="9" a="1"/>
  <c r="U26" i="9" a="1"/>
  <c r="J26" i="9" a="1"/>
  <c r="X25" i="9" a="1"/>
  <c r="M25" i="9" a="1"/>
  <c r="G25" i="9" a="1"/>
  <c r="U24" i="9" a="1"/>
  <c r="J24" i="9" a="1"/>
  <c r="X23" i="9" a="1"/>
  <c r="M23" i="9" a="1"/>
  <c r="G23" i="9" a="1"/>
  <c r="U22" i="9" a="1"/>
  <c r="J22" i="9" a="1"/>
  <c r="X21" i="9" a="1"/>
  <c r="M21" i="9" a="1"/>
  <c r="G21" i="9" a="1"/>
  <c r="U20" i="9" a="1"/>
  <c r="J20" i="9" a="1"/>
  <c r="X19" i="9" a="1"/>
  <c r="M19" i="9" a="1"/>
  <c r="G19" i="9" a="1"/>
  <c r="U18" i="9" a="1"/>
  <c r="J18" i="9" a="1"/>
  <c r="X17" i="9" a="1"/>
  <c r="M17" i="9" a="1"/>
  <c r="G17" i="9" a="1"/>
  <c r="U16" i="9" a="1"/>
  <c r="J16" i="9" a="1"/>
  <c r="X15" i="9" a="1"/>
  <c r="M15" i="9" a="1"/>
  <c r="G15" i="9" a="1"/>
  <c r="U14" i="9" a="1"/>
  <c r="J14" i="9" a="1"/>
  <c r="X13" i="9" a="1"/>
  <c r="M13" i="9" a="1"/>
  <c r="G13" i="9" a="1"/>
  <c r="U12" i="9" a="1"/>
  <c r="J12" i="9" a="1"/>
  <c r="X11" i="9" a="1"/>
  <c r="M11" i="9" a="1"/>
  <c r="G11" i="9" a="1"/>
  <c r="R13" i="9" a="1"/>
  <c r="Z12" i="9" a="1"/>
  <c r="D12" i="9" a="1"/>
  <c r="L11" i="9" a="1"/>
  <c r="K34" i="9" a="1"/>
  <c r="Y33" i="9" a="1"/>
  <c r="N33" i="9" a="1"/>
  <c r="C33" i="9" a="1"/>
  <c r="Q32" i="9" a="1"/>
  <c r="F32" i="9" a="1"/>
  <c r="U31" i="9" a="1"/>
  <c r="K31" i="9" a="1"/>
  <c r="Z30" i="9" a="1"/>
  <c r="P30" i="9" a="1"/>
  <c r="G30" i="9" a="1"/>
  <c r="O29" i="9" a="1"/>
  <c r="G29" i="9" a="1"/>
  <c r="Y28" i="9" a="1"/>
  <c r="R28" i="9" a="1"/>
  <c r="U27" i="9" a="1"/>
  <c r="AA26" i="9" a="1"/>
  <c r="O26" i="9" a="1"/>
  <c r="D26" i="9" a="1"/>
  <c r="R25" i="9" a="1"/>
  <c r="L25" i="9" a="1"/>
  <c r="Z24" i="9" a="1"/>
  <c r="O24" i="9" a="1"/>
  <c r="D24" i="9" a="1"/>
  <c r="R23" i="9" a="1"/>
  <c r="L23" i="9" a="1"/>
  <c r="Z22" i="9" a="1"/>
  <c r="O22" i="9" a="1"/>
  <c r="D22" i="9" a="1"/>
  <c r="R21" i="9" a="1"/>
  <c r="L21" i="9" a="1"/>
  <c r="Z20" i="9" a="1"/>
  <c r="O20" i="9" a="1"/>
  <c r="D20" i="9" a="1"/>
  <c r="R19" i="9" a="1"/>
  <c r="L19" i="9" a="1"/>
  <c r="Z18" i="9" a="1"/>
  <c r="O18" i="9" a="1"/>
  <c r="D18" i="9" a="1"/>
  <c r="R17" i="9" a="1"/>
  <c r="L17" i="9" a="1"/>
  <c r="Z16" i="9" a="1"/>
  <c r="O16" i="9" a="1"/>
  <c r="D16" i="9" a="1"/>
  <c r="R15" i="9" a="1"/>
  <c r="L15" i="9" a="1"/>
  <c r="Z14" i="9" a="1"/>
  <c r="O14" i="9" a="1"/>
  <c r="D14" i="9" a="1"/>
  <c r="L13" i="9" a="1"/>
  <c r="O12" i="9" a="1"/>
  <c r="F65" i="9" a="1"/>
  <c r="V34" i="9" a="1"/>
  <c r="P32" i="9" a="1"/>
  <c r="F30" i="9" a="1"/>
  <c r="W29" i="9" a="1"/>
  <c r="F29" i="9" a="1"/>
  <c r="Q28" i="9" a="1"/>
  <c r="J28" i="9" a="1"/>
  <c r="C28" i="9" a="1"/>
  <c r="N27" i="9" a="1"/>
  <c r="H27" i="9" a="1"/>
  <c r="Z26" i="9" a="1"/>
  <c r="T26" i="9" a="1"/>
  <c r="I26" i="9" a="1"/>
  <c r="W25" i="9" a="1"/>
  <c r="Q25" i="9" a="1"/>
  <c r="F25" i="9" a="1"/>
  <c r="T24" i="9" a="1"/>
  <c r="I24" i="9" a="1"/>
  <c r="W23" i="9" a="1"/>
  <c r="Q23" i="9" a="1"/>
  <c r="F23" i="9" a="1"/>
  <c r="T22" i="9" a="1"/>
  <c r="I22" i="9" a="1"/>
  <c r="W21" i="9" a="1"/>
  <c r="Q21" i="9" a="1"/>
  <c r="F21" i="9" a="1"/>
  <c r="T20" i="9" a="1"/>
  <c r="I20" i="9" a="1"/>
  <c r="W19" i="9" a="1"/>
  <c r="Q19" i="9" a="1"/>
  <c r="F19" i="9" a="1"/>
  <c r="T18" i="9" a="1"/>
  <c r="I18" i="9" a="1"/>
  <c r="W17" i="9" a="1"/>
  <c r="Q17" i="9" a="1"/>
  <c r="D65" i="9" a="1"/>
  <c r="U34" i="9" a="1"/>
  <c r="J34" i="9" a="1"/>
  <c r="X33" i="9" a="1"/>
  <c r="M33" i="9" a="1"/>
  <c r="AA32" i="9" a="1"/>
  <c r="E32" i="9" a="1"/>
  <c r="T31" i="9" a="1"/>
  <c r="J31" i="9" a="1"/>
  <c r="Y30" i="9" a="1"/>
  <c r="O30" i="9" a="1"/>
  <c r="U29" i="9" a="1"/>
  <c r="P28" i="9" a="1"/>
  <c r="AA27" i="9" a="1"/>
  <c r="T27" i="9" a="1"/>
  <c r="G27" i="9" a="1"/>
  <c r="N26" i="9" a="1"/>
  <c r="C26" i="9" a="1"/>
  <c r="V25" i="9" a="1"/>
  <c r="K25" i="9" a="1"/>
  <c r="Y24" i="9" a="1"/>
  <c r="N24" i="9" a="1"/>
  <c r="C24" i="9" a="1"/>
  <c r="V23" i="9" a="1"/>
  <c r="K23" i="9" a="1"/>
  <c r="Y22" i="9" a="1"/>
  <c r="N22" i="9" a="1"/>
  <c r="C22" i="9" a="1"/>
  <c r="V21" i="9" a="1"/>
  <c r="K21" i="9" a="1"/>
  <c r="Y20" i="9" a="1"/>
  <c r="N20" i="9" a="1"/>
  <c r="C20" i="9" a="1"/>
  <c r="V19" i="9" a="1"/>
  <c r="K19" i="9" a="1"/>
  <c r="Y18" i="9" a="1"/>
  <c r="N18" i="9" a="1"/>
  <c r="C18" i="9" a="1"/>
  <c r="V17" i="9" a="1"/>
  <c r="K17" i="9" a="1"/>
  <c r="Z32" i="9" a="1"/>
  <c r="O32" i="9" a="1"/>
  <c r="E30" i="9" a="1"/>
  <c r="M29" i="9" a="1"/>
  <c r="E29" i="9" a="1"/>
  <c r="W28" i="9" a="1"/>
  <c r="Z27" i="9" a="1"/>
  <c r="M27" i="9" a="1"/>
  <c r="F27" i="9" a="1"/>
  <c r="Y26" i="9" a="1"/>
  <c r="S26" i="9" a="1"/>
  <c r="H26" i="9" a="1"/>
  <c r="AA25" i="9" a="1"/>
  <c r="P25" i="9" a="1"/>
  <c r="E25" i="9" a="1"/>
  <c r="S24" i="9" a="1"/>
  <c r="H24" i="9" a="1"/>
  <c r="AA23" i="9" a="1"/>
  <c r="P23" i="9" a="1"/>
  <c r="E23" i="9" a="1"/>
  <c r="S22" i="9" a="1"/>
  <c r="H22" i="9" a="1"/>
  <c r="AA21" i="9" a="1"/>
  <c r="P21" i="9" a="1"/>
  <c r="E21" i="9" a="1"/>
  <c r="S20" i="9" a="1"/>
  <c r="H20" i="9" a="1"/>
  <c r="AA19" i="9" a="1"/>
  <c r="P19" i="9" a="1"/>
  <c r="E19" i="9" a="1"/>
  <c r="S18" i="9" a="1"/>
  <c r="H18" i="9" a="1"/>
  <c r="AA17" i="9" a="1"/>
  <c r="K33" i="9" a="1"/>
  <c r="Y32" i="9" a="1"/>
  <c r="N32" i="9" a="1"/>
  <c r="T29" i="9" a="1"/>
  <c r="K29" i="9" a="1"/>
  <c r="V28" i="9" a="1"/>
  <c r="O28" i="9" a="1"/>
  <c r="H28" i="9" a="1"/>
  <c r="L27" i="9" a="1"/>
  <c r="M26" i="9" a="1"/>
  <c r="G26" i="9" a="1"/>
  <c r="U25" i="9" a="1"/>
  <c r="J25" i="9" a="1"/>
  <c r="X24" i="9" a="1"/>
  <c r="M24" i="9" a="1"/>
  <c r="G24" i="9" a="1"/>
  <c r="U23" i="9" a="1"/>
  <c r="J23" i="9" a="1"/>
  <c r="X22" i="9" a="1"/>
  <c r="M22" i="9" a="1"/>
  <c r="G22" i="9" a="1"/>
  <c r="U21" i="9" a="1"/>
  <c r="J21" i="9" a="1"/>
  <c r="X20" i="9" a="1"/>
  <c r="M20" i="9" a="1"/>
  <c r="G20" i="9" a="1"/>
  <c r="U19" i="9" a="1"/>
  <c r="J19" i="9" a="1"/>
  <c r="X18" i="9" a="1"/>
  <c r="M18" i="9" a="1"/>
  <c r="G18" i="9" a="1"/>
  <c r="U17" i="9" a="1"/>
  <c r="J17" i="9" a="1"/>
  <c r="X16" i="9" a="1"/>
  <c r="AA34" i="9" a="1"/>
  <c r="U32" i="9" a="1"/>
  <c r="J32" i="9" a="1"/>
  <c r="Y31" i="9" a="1"/>
  <c r="O31" i="9" a="1"/>
  <c r="E31" i="9" a="1"/>
  <c r="T30" i="9" a="1"/>
  <c r="J30" i="9" a="1"/>
  <c r="R29" i="9" a="1"/>
  <c r="AA28" i="9" a="1"/>
  <c r="T28" i="9" a="1"/>
  <c r="M28" i="9" a="1"/>
  <c r="P27" i="9" a="1"/>
  <c r="J27" i="9" a="1"/>
  <c r="D27" i="9" a="1"/>
  <c r="W26" i="9" a="1"/>
  <c r="K26" i="9" a="1"/>
  <c r="Y25" i="9" a="1"/>
  <c r="N25" i="9" a="1"/>
  <c r="C25" i="9" a="1"/>
  <c r="V24" i="9" a="1"/>
  <c r="K24" i="9" a="1"/>
  <c r="Y23" i="9" a="1"/>
  <c r="N23" i="9" a="1"/>
  <c r="C23" i="9" a="1"/>
  <c r="V22" i="9" a="1"/>
  <c r="K22" i="9" a="1"/>
  <c r="Y21" i="9" a="1"/>
  <c r="N21" i="9" a="1"/>
  <c r="C21" i="9" a="1"/>
  <c r="V20" i="9" a="1"/>
  <c r="K20" i="9" a="1"/>
  <c r="Y19" i="9" a="1"/>
  <c r="N19" i="9" a="1"/>
  <c r="C19" i="9" a="1"/>
  <c r="E34" i="9" a="1"/>
  <c r="F31" i="9" a="1"/>
  <c r="Z29" i="9" a="1"/>
  <c r="Z28" i="9" a="1"/>
  <c r="Y27" i="9" a="1"/>
  <c r="O25" i="9" a="1"/>
  <c r="W24" i="9" a="1"/>
  <c r="E24" i="9" a="1"/>
  <c r="Q22" i="9" a="1"/>
  <c r="D21" i="9" a="1"/>
  <c r="S19" i="9" a="1"/>
  <c r="K18" i="9" a="1"/>
  <c r="T16" i="9" a="1"/>
  <c r="Y15" i="9" a="1"/>
  <c r="Q15" i="9" a="1"/>
  <c r="D15" i="9" a="1"/>
  <c r="V14" i="9" a="1"/>
  <c r="H14" i="9" a="1"/>
  <c r="Z13" i="9" a="1"/>
  <c r="E13" i="9" a="1"/>
  <c r="I12" i="9" a="1"/>
  <c r="AA11" i="9" a="1"/>
  <c r="H11" i="9" a="1"/>
  <c r="AA16" i="9" a="1"/>
  <c r="L16" i="9" a="1"/>
  <c r="P15" i="9" a="1"/>
  <c r="T14" i="9" a="1"/>
  <c r="Y13" i="9" a="1"/>
  <c r="D13" i="9" a="1"/>
  <c r="H12" i="9" a="1"/>
  <c r="F11" i="9" a="1"/>
  <c r="S33" i="9" a="1"/>
  <c r="U30" i="9" a="1"/>
  <c r="E26" i="9" a="1"/>
  <c r="D23" i="9" a="1"/>
  <c r="F20" i="9" a="1"/>
  <c r="F18" i="9" a="1"/>
  <c r="E16" i="9" a="1"/>
  <c r="AA14" i="9" a="1"/>
  <c r="M14" i="9" a="1"/>
  <c r="N12" i="9" a="1"/>
  <c r="S11" i="9" a="1"/>
  <c r="Q27" i="9" a="1"/>
  <c r="I25" i="9" a="1"/>
  <c r="E20" i="9" a="1"/>
  <c r="R16" i="9" a="1"/>
  <c r="P13" i="9" a="1"/>
  <c r="C13" i="9" a="1"/>
  <c r="U15" i="9" a="1"/>
  <c r="E14" i="9" a="1"/>
  <c r="M12" i="9" a="1"/>
  <c r="K14" i="9" a="1"/>
  <c r="J11" i="9" a="1"/>
  <c r="P26" i="9" a="1"/>
  <c r="Q20" i="9" a="1"/>
  <c r="P16" i="9" a="1"/>
  <c r="D34" i="9" a="1"/>
  <c r="K32" i="9" a="1"/>
  <c r="Y29" i="9" a="1"/>
  <c r="U28" i="9" a="1"/>
  <c r="Z23" i="9" a="1"/>
  <c r="I23" i="9" a="1"/>
  <c r="P22" i="9" a="1"/>
  <c r="O19" i="9" a="1"/>
  <c r="W18" i="9" a="1"/>
  <c r="C17" i="9" a="1"/>
  <c r="M16" i="9" a="1"/>
  <c r="F16" i="9" a="1"/>
  <c r="J15" i="9" a="1"/>
  <c r="N14" i="9" a="1"/>
  <c r="G14" i="9" a="1"/>
  <c r="S13" i="9" a="1"/>
  <c r="K13" i="9" a="1"/>
  <c r="W12" i="9" a="1"/>
  <c r="P12" i="9" a="1"/>
  <c r="T11" i="9" a="1"/>
  <c r="N11" i="9" a="1"/>
  <c r="H23" i="9" a="1"/>
  <c r="L22" i="9" a="1"/>
  <c r="T21" i="9" a="1"/>
  <c r="AA20" i="9" a="1"/>
  <c r="V18" i="9" a="1"/>
  <c r="T17" i="9" a="1"/>
  <c r="S16" i="9" a="1"/>
  <c r="W15" i="9" a="1"/>
  <c r="C15" i="9" a="1"/>
  <c r="Q13" i="9" a="1"/>
  <c r="V12" i="9" a="1"/>
  <c r="Z11" i="9" a="1"/>
  <c r="R27" i="9" a="1"/>
  <c r="Q24" i="9" a="1"/>
  <c r="S21" i="9" a="1"/>
  <c r="I17" i="9" a="1"/>
  <c r="V15" i="9" a="1"/>
  <c r="I15" i="9" a="1"/>
  <c r="F14" i="9" a="1"/>
  <c r="J13" i="9" a="1"/>
  <c r="G12" i="9" a="1"/>
  <c r="Z31" i="9" a="1"/>
  <c r="V26" i="9" a="1"/>
  <c r="P24" i="9" a="1"/>
  <c r="O21" i="9" a="1"/>
  <c r="R18" i="9" a="1"/>
  <c r="K16" i="9" a="1"/>
  <c r="W13" i="9" a="1"/>
  <c r="T12" i="9" a="1"/>
  <c r="K11" i="9" a="1"/>
  <c r="H17" i="9" a="1"/>
  <c r="AA12" i="9" a="1"/>
  <c r="Q11" i="9" a="1"/>
  <c r="H33" i="9" a="1"/>
  <c r="D25" i="9" a="1"/>
  <c r="I16" i="9" a="1"/>
  <c r="L12" i="9" a="1"/>
  <c r="P31" i="9" a="1"/>
  <c r="W22" i="9" a="1"/>
  <c r="W16" i="9" a="1"/>
  <c r="W27" i="9" a="1"/>
  <c r="X26" i="9" a="1"/>
  <c r="F26" i="9" a="1"/>
  <c r="R24" i="9" a="1"/>
  <c r="S17" i="9" a="1"/>
  <c r="S14" i="9" a="1"/>
  <c r="R11" i="9" a="1"/>
  <c r="E18" i="9" a="1"/>
  <c r="H15" i="9" a="1"/>
  <c r="I13" i="9" a="1"/>
  <c r="Q34" i="9" a="1"/>
  <c r="Z17" i="9" a="1"/>
  <c r="R14" i="9" a="1"/>
  <c r="G33" i="9" a="1"/>
  <c r="E22" i="9" a="1"/>
  <c r="L14" i="9" a="1"/>
  <c r="P17" i="9" a="1"/>
  <c r="Y14" i="9" a="1"/>
  <c r="K27" i="9" a="1"/>
  <c r="F22" i="9" a="1"/>
  <c r="N15" i="9" a="1"/>
  <c r="R33" i="9" a="1"/>
  <c r="P29" i="9" a="1"/>
  <c r="Z25" i="9" a="1"/>
  <c r="W20" i="9" a="1"/>
  <c r="Y16" i="9" a="1"/>
  <c r="O15" i="9" a="1"/>
  <c r="Y11" i="9" a="1"/>
  <c r="E11" i="9" a="1"/>
  <c r="Q16" i="9" a="1"/>
  <c r="V13" i="9" a="1"/>
  <c r="F12" i="9" a="1"/>
  <c r="L28" i="9" a="1"/>
  <c r="R20" i="9" a="1"/>
  <c r="F17" i="9" a="1"/>
  <c r="W11" i="9" a="1"/>
  <c r="G28" i="9" a="1"/>
  <c r="P18" i="9" a="1"/>
  <c r="Z34" i="9" a="1"/>
  <c r="R26" i="9" a="1"/>
  <c r="H25" i="9" a="1"/>
  <c r="L24" i="9" a="1"/>
  <c r="T23" i="9" a="1"/>
  <c r="AA22" i="9" a="1"/>
  <c r="Z19" i="9" a="1"/>
  <c r="I19" i="9" a="1"/>
  <c r="Q18" i="9" a="1"/>
  <c r="C16" i="9" a="1"/>
  <c r="J29" i="9" a="1"/>
  <c r="S23" i="9" a="1"/>
  <c r="O17" i="9" a="1"/>
  <c r="F15" i="9" a="1"/>
  <c r="S12" i="9" a="1"/>
  <c r="D19" i="9" a="1"/>
  <c r="K30" i="9" a="1"/>
  <c r="P34" i="9" a="1"/>
  <c r="O34" i="9" a="1"/>
  <c r="F28" i="9" a="1"/>
  <c r="L26" i="9" a="1"/>
  <c r="T25" i="9" a="1"/>
  <c r="AA24" i="9" a="1"/>
  <c r="Z21" i="9" a="1"/>
  <c r="I21" i="9" a="1"/>
  <c r="P20" i="9" a="1"/>
  <c r="L18" i="9" a="1"/>
  <c r="Y17" i="9" a="1"/>
  <c r="N17" i="9" a="1"/>
  <c r="E17" i="9" a="1"/>
  <c r="V16" i="9" a="1"/>
  <c r="H16" i="9" a="1"/>
  <c r="Z15" i="9" a="1"/>
  <c r="E15" i="9" a="1"/>
  <c r="I14" i="9" a="1"/>
  <c r="AA13" i="9" a="1"/>
  <c r="N13" i="9" a="1"/>
  <c r="F13" i="9" a="1"/>
  <c r="R12" i="9" a="1"/>
  <c r="K12" i="9" a="1"/>
  <c r="I11" i="9" a="1"/>
  <c r="C11" i="9" a="1"/>
  <c r="V32" i="9" a="1"/>
  <c r="C29" i="9" a="1"/>
  <c r="E28" i="9" a="1"/>
  <c r="E27" i="9" a="1"/>
  <c r="S25" i="9" a="1"/>
  <c r="F24" i="9" a="1"/>
  <c r="R22" i="9" a="1"/>
  <c r="H21" i="9" a="1"/>
  <c r="L20" i="9" a="1"/>
  <c r="T19" i="9" a="1"/>
  <c r="AA18" i="9" a="1"/>
  <c r="D17" i="9" a="1"/>
  <c r="N16" i="9" a="1"/>
  <c r="G16" i="9" a="1"/>
  <c r="S15" i="9" a="1"/>
  <c r="K15" i="9" a="1"/>
  <c r="W14" i="9" a="1"/>
  <c r="P14" i="9" a="1"/>
  <c r="T13" i="9" a="1"/>
  <c r="X12" i="9" a="1"/>
  <c r="Q12" i="9" a="1"/>
  <c r="C12" i="9" a="1"/>
  <c r="O11" i="9" a="1"/>
  <c r="Q26" i="9" a="1"/>
  <c r="H19" i="9" a="1"/>
  <c r="AA15" i="9" a="1"/>
  <c r="O13" i="9" a="1"/>
  <c r="D11" i="9" a="1"/>
  <c r="O23" i="9" a="1"/>
  <c r="U11" i="9" a="1"/>
  <c r="T15" i="9" a="1"/>
  <c r="H13" i="9" a="1"/>
  <c r="Q14" i="9" a="1"/>
  <c r="P11" i="9" a="1"/>
  <c r="U13" i="9" a="1"/>
  <c r="Y12" i="9" a="1"/>
  <c r="X14" i="9" a="1"/>
  <c r="E12" i="9" a="1"/>
  <c r="V11" i="9" a="1"/>
  <c r="C14" i="9" a="1"/>
  <c r="X34" i="8" a="1"/>
  <c r="S34" i="8" a="1"/>
  <c r="N34" i="8" a="1"/>
  <c r="I34" i="8" a="1"/>
  <c r="D34" i="8" a="1"/>
  <c r="X33" i="8" a="1"/>
  <c r="S33" i="8" a="1"/>
  <c r="N33" i="8" a="1"/>
  <c r="I33" i="8" a="1"/>
  <c r="D33" i="8" a="1"/>
  <c r="X32" i="8" a="1"/>
  <c r="S32" i="8" a="1"/>
  <c r="N32" i="8" a="1"/>
  <c r="I32" i="8" a="1"/>
  <c r="D32" i="8" a="1"/>
  <c r="X31" i="8" a="1"/>
  <c r="S31" i="8" a="1"/>
  <c r="N31" i="8" a="1"/>
  <c r="I31" i="8" a="1"/>
  <c r="D31" i="8" a="1"/>
  <c r="X30" i="8" a="1"/>
  <c r="S30" i="8" a="1"/>
  <c r="N30" i="8" a="1"/>
  <c r="I30" i="8" a="1"/>
  <c r="D30" i="8" a="1"/>
  <c r="X29" i="8" a="1"/>
  <c r="S29" i="8" a="1"/>
  <c r="N29" i="8" a="1"/>
  <c r="I29" i="8" a="1"/>
  <c r="D29" i="8" a="1"/>
  <c r="X28" i="8" a="1"/>
  <c r="S28" i="8" a="1"/>
  <c r="N28" i="8" a="1"/>
  <c r="I28" i="8" a="1"/>
  <c r="D28" i="8" a="1"/>
  <c r="X27" i="8" a="1"/>
  <c r="S27" i="8" a="1"/>
  <c r="N27" i="8" a="1"/>
  <c r="I27" i="8" a="1"/>
  <c r="D27" i="8" a="1"/>
  <c r="X26" i="8" a="1"/>
  <c r="S26" i="8" a="1"/>
  <c r="N26" i="8" a="1"/>
  <c r="I26" i="8" a="1"/>
  <c r="D26" i="8" a="1"/>
  <c r="X25" i="8" a="1"/>
  <c r="S25" i="8" a="1"/>
  <c r="D65" i="8" a="1"/>
  <c r="N65" i="8" a="1"/>
  <c r="H65" i="8" a="1"/>
  <c r="T34" i="8" a="1"/>
  <c r="C34" i="8" a="1"/>
  <c r="Q33" i="8" a="1"/>
  <c r="F33" i="8" a="1"/>
  <c r="T32" i="8" a="1"/>
  <c r="C32" i="8" a="1"/>
  <c r="Q31" i="8" a="1"/>
  <c r="F31" i="8" a="1"/>
  <c r="T30" i="8" a="1"/>
  <c r="C30" i="8" a="1"/>
  <c r="Q29" i="8" a="1"/>
  <c r="F29" i="8" a="1"/>
  <c r="T28" i="8" a="1"/>
  <c r="C28" i="8" a="1"/>
  <c r="Q27" i="8" a="1"/>
  <c r="F27" i="8" a="1"/>
  <c r="T26" i="8" a="1"/>
  <c r="C26" i="8" a="1"/>
  <c r="Q25" i="8" a="1"/>
  <c r="L25" i="8" a="1"/>
  <c r="G25" i="8" a="1"/>
  <c r="AA24" i="8" a="1"/>
  <c r="V24" i="8" a="1"/>
  <c r="Q24" i="8" a="1"/>
  <c r="L24" i="8" a="1"/>
  <c r="G24" i="8" a="1"/>
  <c r="AA23" i="8" a="1"/>
  <c r="V23" i="8" a="1"/>
  <c r="Q23" i="8" a="1"/>
  <c r="L23" i="8" a="1"/>
  <c r="G23" i="8" a="1"/>
  <c r="AA22" i="8" a="1"/>
  <c r="V22" i="8" a="1"/>
  <c r="Q22" i="8" a="1"/>
  <c r="L22" i="8" a="1"/>
  <c r="G22" i="8" a="1"/>
  <c r="AA21" i="8" a="1"/>
  <c r="V21" i="8" a="1"/>
  <c r="Q21" i="8" a="1"/>
  <c r="L21" i="8" a="1"/>
  <c r="G21" i="8" a="1"/>
  <c r="AA20" i="8" a="1"/>
  <c r="V20" i="8" a="1"/>
  <c r="Y34" i="8" a="1"/>
  <c r="H34" i="8" a="1"/>
  <c r="V33" i="8" a="1"/>
  <c r="K33" i="8" a="1"/>
  <c r="Y32" i="8" a="1"/>
  <c r="H32" i="8" a="1"/>
  <c r="V31" i="8" a="1"/>
  <c r="K31" i="8" a="1"/>
  <c r="F65" i="8" a="1"/>
  <c r="M34" i="8" a="1"/>
  <c r="AA33" i="8" a="1"/>
  <c r="P33" i="8" a="1"/>
  <c r="E33" i="8" a="1"/>
  <c r="M32" i="8" a="1"/>
  <c r="AA31" i="8" a="1"/>
  <c r="P31" i="8" a="1"/>
  <c r="E31" i="8" a="1"/>
  <c r="R33" i="8" a="1"/>
  <c r="AA32" i="8" a="1"/>
  <c r="R32" i="8" a="1"/>
  <c r="K32" i="8" a="1"/>
  <c r="T31" i="8" a="1"/>
  <c r="W29" i="8" a="1"/>
  <c r="W28" i="8" a="1"/>
  <c r="Q28" i="8" a="1"/>
  <c r="K28" i="8" a="1"/>
  <c r="E28" i="8" a="1"/>
  <c r="K27" i="8" a="1"/>
  <c r="E27" i="8" a="1"/>
  <c r="R25" i="8" a="1"/>
  <c r="Z24" i="8" a="1"/>
  <c r="O24" i="8" a="1"/>
  <c r="D24" i="8" a="1"/>
  <c r="R23" i="8" a="1"/>
  <c r="Z22" i="8" a="1"/>
  <c r="O22" i="8" a="1"/>
  <c r="D22" i="8" a="1"/>
  <c r="R21" i="8" a="1"/>
  <c r="Z20" i="8" a="1"/>
  <c r="P34" i="8" a="1"/>
  <c r="Y33" i="8" a="1"/>
  <c r="J30" i="8" a="1"/>
  <c r="E26" i="8" a="1"/>
  <c r="I24" i="8" a="1"/>
  <c r="T22" i="8" a="1"/>
  <c r="F21" i="8" a="1"/>
  <c r="E20" i="8" a="1"/>
  <c r="T19" i="8" a="1"/>
  <c r="E19" i="8" a="1"/>
  <c r="T18" i="8" a="1"/>
  <c r="Y17" i="8" a="1"/>
  <c r="J17" i="8" a="1"/>
  <c r="Y16" i="8" a="1"/>
  <c r="O16" i="8" a="1"/>
  <c r="J16" i="8" a="1"/>
  <c r="Y15" i="8" a="1"/>
  <c r="O15" i="8" a="1"/>
  <c r="E15" i="8" a="1"/>
  <c r="T14" i="8" a="1"/>
  <c r="J14" i="8" a="1"/>
  <c r="Y13" i="8" a="1"/>
  <c r="O13" i="8" a="1"/>
  <c r="E13" i="8" a="1"/>
  <c r="T12" i="8" a="1"/>
  <c r="W34" i="8" a="1"/>
  <c r="G34" i="8" a="1"/>
  <c r="L31" i="8" a="1"/>
  <c r="V30" i="8" a="1"/>
  <c r="P30" i="8" a="1"/>
  <c r="V29" i="8" a="1"/>
  <c r="P29" i="8" a="1"/>
  <c r="J29" i="8" a="1"/>
  <c r="W27" i="8" a="1"/>
  <c r="W26" i="8" a="1"/>
  <c r="Q26" i="8" a="1"/>
  <c r="K26" i="8" a="1"/>
  <c r="F25" i="8" a="1"/>
  <c r="T24" i="8" a="1"/>
  <c r="W23" i="8" a="1"/>
  <c r="F23" i="8" a="1"/>
  <c r="I22" i="8" a="1"/>
  <c r="W21" i="8" a="1"/>
  <c r="T20" i="8" a="1"/>
  <c r="O20" i="8" a="1"/>
  <c r="J20" i="8" a="1"/>
  <c r="Y19" i="8" a="1"/>
  <c r="O19" i="8" a="1"/>
  <c r="J19" i="8" a="1"/>
  <c r="Y18" i="8" a="1"/>
  <c r="O18" i="8" a="1"/>
  <c r="J18" i="8" a="1"/>
  <c r="E18" i="8" a="1"/>
  <c r="T17" i="8" a="1"/>
  <c r="O17" i="8" a="1"/>
  <c r="E17" i="8" a="1"/>
  <c r="T16" i="8" a="1"/>
  <c r="E16" i="8" a="1"/>
  <c r="T15" i="8" a="1"/>
  <c r="J15" i="8" a="1"/>
  <c r="Y14" i="8" a="1"/>
  <c r="O14" i="8" a="1"/>
  <c r="E14" i="8" a="1"/>
  <c r="T13" i="8" a="1"/>
  <c r="J13" i="8" a="1"/>
  <c r="Y12" i="8" a="1"/>
  <c r="O12" i="8" a="1"/>
  <c r="H33" i="8" a="1"/>
  <c r="Z32" i="8" a="1"/>
  <c r="Q32" i="8" a="1"/>
  <c r="J32" i="8" a="1"/>
  <c r="Z31" i="8" a="1"/>
  <c r="J31" i="8" a="1"/>
  <c r="C31" i="8" a="1"/>
  <c r="C29" i="8" a="1"/>
  <c r="V28" i="8" a="1"/>
  <c r="P28" i="8" a="1"/>
  <c r="J28" i="8" a="1"/>
  <c r="V27" i="8" a="1"/>
  <c r="P27" i="8" a="1"/>
  <c r="J27" i="8" a="1"/>
  <c r="W25" i="8" a="1"/>
  <c r="K25" i="8" a="1"/>
  <c r="Y24" i="8" a="1"/>
  <c r="N24" i="8" a="1"/>
  <c r="C24" i="8" a="1"/>
  <c r="K23" i="8" a="1"/>
  <c r="Y22" i="8" a="1"/>
  <c r="N22" i="8" a="1"/>
  <c r="C22" i="8" a="1"/>
  <c r="K21" i="8" a="1"/>
  <c r="Y20" i="8" a="1"/>
  <c r="V34" i="8" a="1"/>
  <c r="O34" i="8" a="1"/>
  <c r="F34" i="8" a="1"/>
  <c r="O33" i="8" a="1"/>
  <c r="R31" i="8" a="1"/>
  <c r="U30" i="8" a="1"/>
  <c r="O30" i="8" a="1"/>
  <c r="H30" i="8" a="1"/>
  <c r="AA29" i="8" a="1"/>
  <c r="U29" i="8" a="1"/>
  <c r="O29" i="8" a="1"/>
  <c r="C27" i="8" a="1"/>
  <c r="V26" i="8" a="1"/>
  <c r="P26" i="8" a="1"/>
  <c r="J26" i="8" a="1"/>
  <c r="V25" i="8" a="1"/>
  <c r="P25" i="8" a="1"/>
  <c r="E25" i="8" a="1"/>
  <c r="S24" i="8" a="1"/>
  <c r="H24" i="8" a="1"/>
  <c r="P23" i="8" a="1"/>
  <c r="E23" i="8" a="1"/>
  <c r="S22" i="8" a="1"/>
  <c r="H22" i="8" a="1"/>
  <c r="P21" i="8" a="1"/>
  <c r="E21" i="8" a="1"/>
  <c r="S20" i="8" a="1"/>
  <c r="N20" i="8" a="1"/>
  <c r="L65" i="8" a="1"/>
  <c r="W33" i="8" a="1"/>
  <c r="G33" i="8" a="1"/>
  <c r="W32" i="8" a="1"/>
  <c r="P32" i="8" a="1"/>
  <c r="G32" i="8" a="1"/>
  <c r="Y31" i="8" a="1"/>
  <c r="AA30" i="8" a="1"/>
  <c r="H29" i="8" a="1"/>
  <c r="AA28" i="8" a="1"/>
  <c r="U28" i="8" a="1"/>
  <c r="O28" i="8" a="1"/>
  <c r="H28" i="8" a="1"/>
  <c r="AA27" i="8" a="1"/>
  <c r="U27" i="8" a="1"/>
  <c r="O27" i="8" a="1"/>
  <c r="J25" i="8" a="1"/>
  <c r="X24" i="8" a="1"/>
  <c r="M24" i="8" a="1"/>
  <c r="U23" i="8" a="1"/>
  <c r="J23" i="8" a="1"/>
  <c r="X22" i="8" a="1"/>
  <c r="M22" i="8" a="1"/>
  <c r="U21" i="8" a="1"/>
  <c r="J21" i="8" a="1"/>
  <c r="X20" i="8" a="1"/>
  <c r="J65" i="8" a="1"/>
  <c r="M33" i="8" a="1"/>
  <c r="V32" i="8" a="1"/>
  <c r="O32" i="8" a="1"/>
  <c r="F32" i="8" a="1"/>
  <c r="O31" i="8" a="1"/>
  <c r="Z30" i="8" a="1"/>
  <c r="M29" i="8" a="1"/>
  <c r="G29" i="8" a="1"/>
  <c r="Z28" i="8" a="1"/>
  <c r="M28" i="8" a="1"/>
  <c r="G28" i="8" a="1"/>
  <c r="Z27" i="8" a="1"/>
  <c r="T27" i="8" a="1"/>
  <c r="I25" i="8" a="1"/>
  <c r="W24" i="8" a="1"/>
  <c r="F24" i="8" a="1"/>
  <c r="T23" i="8" a="1"/>
  <c r="I23" i="8" a="1"/>
  <c r="W22" i="8" a="1"/>
  <c r="F22" i="8" a="1"/>
  <c r="T21" i="8" a="1"/>
  <c r="I21" i="8" a="1"/>
  <c r="W20" i="8" a="1"/>
  <c r="Z34" i="8" a="1"/>
  <c r="J33" i="8" a="1"/>
  <c r="Y30" i="8" a="1"/>
  <c r="K30" i="8" a="1"/>
  <c r="E29" i="8" a="1"/>
  <c r="G27" i="8" a="1"/>
  <c r="R26" i="8" a="1"/>
  <c r="Z25" i="8" a="1"/>
  <c r="M25" i="8" a="1"/>
  <c r="J24" i="8" a="1"/>
  <c r="N21" i="8" a="1"/>
  <c r="L20" i="8" a="1"/>
  <c r="J12" i="8" a="1"/>
  <c r="X11" i="8" a="1"/>
  <c r="M11" i="8" a="1"/>
  <c r="V18" i="8" a="1"/>
  <c r="I18" i="8" a="1"/>
  <c r="V17" i="8" a="1"/>
  <c r="I17" i="8" a="1"/>
  <c r="V16" i="8" a="1"/>
  <c r="P16" i="8" a="1"/>
  <c r="C16" i="8" a="1"/>
  <c r="C15" i="8" a="1"/>
  <c r="I14" i="8" a="1"/>
  <c r="V13" i="8" a="1"/>
  <c r="P13" i="8" a="1"/>
  <c r="C13" i="8" a="1"/>
  <c r="P12" i="8" a="1"/>
  <c r="D12" i="8" a="1"/>
  <c r="G11" i="8" a="1"/>
  <c r="U13" i="8" a="1"/>
  <c r="U12" i="8" a="1"/>
  <c r="N12" i="8" a="1"/>
  <c r="F11" i="8" a="1"/>
  <c r="G17" i="8" a="1"/>
  <c r="S13" i="8" a="1"/>
  <c r="P11" i="8" a="1"/>
  <c r="U34" i="8" a="1"/>
  <c r="L32" i="8" a="1"/>
  <c r="G30" i="8" a="1"/>
  <c r="R29" i="8" a="1"/>
  <c r="L28" i="8" a="1"/>
  <c r="O26" i="8" a="1"/>
  <c r="S23" i="8" a="1"/>
  <c r="D23" i="8" a="1"/>
  <c r="P22" i="8" a="1"/>
  <c r="Z21" i="8" a="1"/>
  <c r="C20" i="8" a="1"/>
  <c r="V19" i="8" a="1"/>
  <c r="P19" i="8" a="1"/>
  <c r="I19" i="8" a="1"/>
  <c r="C19" i="8" a="1"/>
  <c r="P18" i="8" a="1"/>
  <c r="C18" i="8" a="1"/>
  <c r="P17" i="8" a="1"/>
  <c r="C17" i="8" a="1"/>
  <c r="I16" i="8" a="1"/>
  <c r="V15" i="8" a="1"/>
  <c r="P15" i="8" a="1"/>
  <c r="I15" i="8" a="1"/>
  <c r="V14" i="8" a="1"/>
  <c r="P14" i="8" a="1"/>
  <c r="C14" i="8" a="1"/>
  <c r="I13" i="8" a="1"/>
  <c r="V12" i="8" a="1"/>
  <c r="R11" i="8" a="1"/>
  <c r="AA13" i="8" a="1"/>
  <c r="AA12" i="8" a="1"/>
  <c r="C12" i="8" a="1"/>
  <c r="K11" i="8" a="1"/>
  <c r="Z16" i="8" a="1"/>
  <c r="Z13" i="8" a="1"/>
  <c r="D11" i="8" a="1"/>
  <c r="R34" i="8" a="1"/>
  <c r="Z33" i="8" a="1"/>
  <c r="W30" i="8" a="1"/>
  <c r="F30" i="8" a="1"/>
  <c r="Y28" i="8" a="1"/>
  <c r="M26" i="8" a="1"/>
  <c r="Y25" i="8" a="1"/>
  <c r="U24" i="8" a="1"/>
  <c r="C23" i="8" a="1"/>
  <c r="Y21" i="8" a="1"/>
  <c r="M21" i="8" a="1"/>
  <c r="K20" i="8" a="1"/>
  <c r="I12" i="8" a="1"/>
  <c r="W11" i="8" a="1"/>
  <c r="L11" i="8" a="1"/>
  <c r="U17" i="8" a="1"/>
  <c r="U16" i="8" a="1"/>
  <c r="H16" i="8" a="1"/>
  <c r="U15" i="8" a="1"/>
  <c r="H15" i="8" a="1"/>
  <c r="U14" i="8" a="1"/>
  <c r="H14" i="8" a="1"/>
  <c r="H13" i="8" a="1"/>
  <c r="Q11" i="8" a="1"/>
  <c r="E11" i="8" a="1"/>
  <c r="S16" i="8" a="1"/>
  <c r="G15" i="8" a="1"/>
  <c r="M13" i="8" a="1"/>
  <c r="AA11" i="8" a="1"/>
  <c r="Y29" i="8" a="1"/>
  <c r="C25" i="8" a="1"/>
  <c r="U11" i="8" a="1"/>
  <c r="U33" i="8" a="1"/>
  <c r="C33" i="8" a="1"/>
  <c r="AA26" i="8" a="1"/>
  <c r="U25" i="8" a="1"/>
  <c r="H25" i="8" a="1"/>
  <c r="R24" i="8" a="1"/>
  <c r="E24" i="8" a="1"/>
  <c r="O23" i="8" a="1"/>
  <c r="I20" i="8" a="1"/>
  <c r="AA19" i="8" a="1"/>
  <c r="U19" i="8" a="1"/>
  <c r="N19" i="8" a="1"/>
  <c r="H19" i="8" a="1"/>
  <c r="AA18" i="8" a="1"/>
  <c r="U18" i="8" a="1"/>
  <c r="N18" i="8" a="1"/>
  <c r="H18" i="8" a="1"/>
  <c r="AA17" i="8" a="1"/>
  <c r="N17" i="8" a="1"/>
  <c r="H17" i="8" a="1"/>
  <c r="AA16" i="8" a="1"/>
  <c r="N16" i="8" a="1"/>
  <c r="AA15" i="8" a="1"/>
  <c r="N15" i="8" a="1"/>
  <c r="AA14" i="8" a="1"/>
  <c r="N14" i="8" a="1"/>
  <c r="N13" i="8" a="1"/>
  <c r="S17" i="8" a="1"/>
  <c r="Z15" i="8" a="1"/>
  <c r="S15" i="8" a="1"/>
  <c r="S14" i="8" a="1"/>
  <c r="G13" i="8" a="1"/>
  <c r="M12" i="8" a="1"/>
  <c r="Q30" i="8" a="1"/>
  <c r="G26" i="8" a="1"/>
  <c r="J22" i="8" a="1"/>
  <c r="Q34" i="8" a="1"/>
  <c r="T33" i="8" a="1"/>
  <c r="M31" i="8" a="1"/>
  <c r="R30" i="8" a="1"/>
  <c r="E30" i="8" a="1"/>
  <c r="R27" i="8" a="1"/>
  <c r="Z26" i="8" a="1"/>
  <c r="L26" i="8" a="1"/>
  <c r="T25" i="8" a="1"/>
  <c r="N23" i="8" a="1"/>
  <c r="K22" i="8" a="1"/>
  <c r="X21" i="8" a="1"/>
  <c r="U20" i="8" a="1"/>
  <c r="H20" i="8" a="1"/>
  <c r="H12" i="8" a="1"/>
  <c r="V11" i="8" a="1"/>
  <c r="M16" i="8" a="1"/>
  <c r="Z14" i="8" a="1"/>
  <c r="G14" i="8" a="1"/>
  <c r="S12" i="8" a="1"/>
  <c r="J11" i="8" a="1"/>
  <c r="K34" i="8" a="1"/>
  <c r="K29" i="8" a="1"/>
  <c r="Y23" i="8" a="1"/>
  <c r="Q20" i="8" a="1"/>
  <c r="G12" i="8" a="1"/>
  <c r="L34" i="8" a="1"/>
  <c r="E32" i="8" a="1"/>
  <c r="H31" i="8" a="1"/>
  <c r="Z29" i="8" a="1"/>
  <c r="L29" i="8" a="1"/>
  <c r="F28" i="8" a="1"/>
  <c r="Y26" i="8" a="1"/>
  <c r="H26" i="8" a="1"/>
  <c r="D25" i="8" a="1"/>
  <c r="P24" i="8" a="1"/>
  <c r="Z23" i="8" a="1"/>
  <c r="H21" i="8" a="1"/>
  <c r="R20" i="8" a="1"/>
  <c r="G20" i="8" a="1"/>
  <c r="Z19" i="8" a="1"/>
  <c r="S19" i="8" a="1"/>
  <c r="M19" i="8" a="1"/>
  <c r="G19" i="8" a="1"/>
  <c r="Z18" i="8" a="1"/>
  <c r="S18" i="8" a="1"/>
  <c r="M18" i="8" a="1"/>
  <c r="G18" i="8" a="1"/>
  <c r="Z17" i="8" a="1"/>
  <c r="M17" i="8" a="1"/>
  <c r="G16" i="8" a="1"/>
  <c r="M15" i="8" a="1"/>
  <c r="M14" i="8" a="1"/>
  <c r="Z12" i="8" a="1"/>
  <c r="G31" i="8" a="1"/>
  <c r="M27" i="8" a="1"/>
  <c r="M23" i="8" a="1"/>
  <c r="O11" i="8" a="1"/>
  <c r="J34" i="8" a="1"/>
  <c r="U31" i="8" a="1"/>
  <c r="L27" i="8" a="1"/>
  <c r="D20" i="8" a="1"/>
  <c r="F19" i="8" a="1"/>
  <c r="Q17" i="8" a="1"/>
  <c r="R16" i="8" a="1"/>
  <c r="D15" i="8" a="1"/>
  <c r="F14" i="8" a="1"/>
  <c r="Q12" i="8" a="1"/>
  <c r="T11" i="8" a="1"/>
  <c r="C11" i="8" a="1"/>
  <c r="E34" i="8" a="1"/>
  <c r="H27" i="8" a="1"/>
  <c r="O21" i="8" a="1"/>
  <c r="X19" i="8" a="1"/>
  <c r="K18" i="8" a="1"/>
  <c r="L17" i="8" a="1"/>
  <c r="W15" i="8" a="1"/>
  <c r="X14" i="8" a="1"/>
  <c r="K13" i="8" a="1"/>
  <c r="L12" i="8" a="1"/>
  <c r="U26" i="8" a="1"/>
  <c r="H23" i="8" a="1"/>
  <c r="D21" i="8" a="1"/>
  <c r="D19" i="8" a="1"/>
  <c r="F18" i="8" a="1"/>
  <c r="R15" i="8" a="1"/>
  <c r="D14" i="8" a="1"/>
  <c r="F13" i="8" a="1"/>
  <c r="S11" i="8" a="1"/>
  <c r="R28" i="8" a="1"/>
  <c r="C21" i="8" a="1"/>
  <c r="W19" i="8" a="1"/>
  <c r="X18" i="8" a="1"/>
  <c r="K17" i="8" a="1"/>
  <c r="L16" i="8" a="1"/>
  <c r="W14" i="8" a="1"/>
  <c r="X13" i="8" a="1"/>
  <c r="K12" i="8" a="1"/>
  <c r="L33" i="8" a="1"/>
  <c r="M30" i="8" a="1"/>
  <c r="U22" i="8" a="1"/>
  <c r="R19" i="8" a="1"/>
  <c r="D18" i="8" a="1"/>
  <c r="F17" i="8" a="1"/>
  <c r="Q15" i="8" a="1"/>
  <c r="R14" i="8" a="1"/>
  <c r="D13" i="8" a="1"/>
  <c r="N11" i="8" a="1"/>
  <c r="R22" i="8" a="1"/>
  <c r="X17" i="8" a="1"/>
  <c r="K16" i="8" a="1"/>
  <c r="L15" i="8" a="1"/>
  <c r="W13" i="8" a="1"/>
  <c r="X12" i="8" a="1"/>
  <c r="F12" i="8" a="1"/>
  <c r="Q14" i="8" a="1"/>
  <c r="E12" i="8" a="1"/>
  <c r="Y27" i="8" a="1"/>
  <c r="Q18" i="8" a="1"/>
  <c r="H11" i="8" a="1"/>
  <c r="X15" i="8" a="1"/>
  <c r="Q19" i="8" a="1"/>
  <c r="X23" i="8" a="1"/>
  <c r="F15" i="8" a="1"/>
  <c r="S21" i="8" a="1"/>
  <c r="Q16" i="8" a="1"/>
  <c r="D17" i="8" a="1"/>
  <c r="I11" i="8" a="1"/>
  <c r="F20" i="8" a="1"/>
  <c r="Y11" i="8" a="1"/>
  <c r="T29" i="8" a="1"/>
  <c r="L18" i="8" a="1"/>
  <c r="L13" i="8" a="1"/>
  <c r="R18" i="8" a="1"/>
  <c r="E22" i="8" a="1"/>
  <c r="D16" i="8" a="1"/>
  <c r="K14" i="8" a="1"/>
  <c r="R13" i="8" a="1"/>
  <c r="R17" i="8" a="1"/>
  <c r="R12" i="8" a="1"/>
  <c r="W31" i="8" a="1"/>
  <c r="K19" i="8" a="1"/>
  <c r="U32" i="8" a="1"/>
  <c r="L30" i="8" a="1"/>
  <c r="K24" i="8" a="1"/>
  <c r="W18" i="8" a="1"/>
  <c r="F26" i="8" a="1"/>
  <c r="P20" i="8" a="1"/>
  <c r="F16" i="8" a="1"/>
  <c r="AA34" i="8" a="1"/>
  <c r="AA25" i="8" a="1"/>
  <c r="M20" i="8" a="1"/>
  <c r="L19" i="8" a="1"/>
  <c r="W17" i="8" a="1"/>
  <c r="X16" i="8" a="1"/>
  <c r="K15" i="8" a="1"/>
  <c r="L14" i="8" a="1"/>
  <c r="W12" i="8" a="1"/>
  <c r="Z11" i="8" a="1"/>
  <c r="O25" i="8" a="1"/>
  <c r="Q13" i="8" a="1"/>
  <c r="N25" i="8" a="1"/>
  <c r="W16" i="8" a="1"/>
  <c r="C19" i="7" a="1"/>
  <c r="F19" i="7" a="1"/>
  <c r="G19" i="7" a="1"/>
  <c r="D19" i="7" a="1"/>
  <c r="K19" i="7" a="1"/>
  <c r="X19" i="7" a="1"/>
  <c r="E20" i="7" a="1"/>
  <c r="K20" i="7" a="1"/>
  <c r="X20" i="7" a="1"/>
  <c r="E21" i="7" a="1"/>
  <c r="K21" i="7" a="1"/>
  <c r="X21" i="7" a="1"/>
  <c r="E22" i="7" a="1"/>
  <c r="K22" i="7" a="1"/>
  <c r="X22" i="7" a="1"/>
  <c r="E23" i="7" a="1"/>
  <c r="K23" i="7" a="1"/>
  <c r="X23" i="7" a="1"/>
  <c r="E24" i="7" a="1"/>
  <c r="K24" i="7" a="1"/>
  <c r="X24" i="7" a="1"/>
  <c r="E25" i="7" a="1"/>
  <c r="K25" i="7" a="1"/>
  <c r="X25" i="7" a="1"/>
  <c r="E26" i="7" a="1"/>
  <c r="K26" i="7" a="1"/>
  <c r="X26" i="7" a="1"/>
  <c r="E27" i="7" a="1"/>
  <c r="K27" i="7" a="1"/>
  <c r="X27" i="7" a="1"/>
  <c r="E28" i="7" a="1"/>
  <c r="K28" i="7" a="1"/>
  <c r="X28" i="7" a="1"/>
  <c r="E29" i="7" a="1"/>
  <c r="K29" i="7" a="1"/>
  <c r="X29" i="7" a="1"/>
  <c r="E30" i="7" a="1"/>
  <c r="K30" i="7" a="1"/>
  <c r="X30" i="7" a="1"/>
  <c r="E31" i="7" a="1"/>
  <c r="P31" i="7" a="1"/>
  <c r="AA31" i="7" a="1"/>
  <c r="M32" i="7" a="1"/>
  <c r="S32" i="7" a="1"/>
  <c r="E33" i="7" a="1"/>
  <c r="P33" i="7" a="1"/>
  <c r="AA33" i="7" a="1"/>
  <c r="M34" i="7" a="1"/>
  <c r="S34" i="7" a="1"/>
  <c r="S24" i="7" a="1"/>
  <c r="F25" i="7" a="1"/>
  <c r="Y25" i="7" a="1"/>
  <c r="S26" i="7" a="1"/>
  <c r="F27" i="7" a="1"/>
  <c r="Y27" i="7" a="1"/>
  <c r="S28" i="7" a="1"/>
  <c r="F29" i="7" a="1"/>
  <c r="Y29" i="7" a="1"/>
  <c r="S30" i="7" a="1"/>
  <c r="F31" i="7" a="1"/>
  <c r="Q31" i="7" a="1"/>
  <c r="I32" i="7" a="1"/>
  <c r="T32" i="7" a="1"/>
  <c r="F33" i="7" a="1"/>
  <c r="Q33" i="7" a="1"/>
  <c r="C34" i="7" a="1"/>
  <c r="M19" i="7" a="1"/>
  <c r="M21" i="7" a="1"/>
  <c r="M22" i="7" a="1"/>
  <c r="G23" i="7" a="1"/>
  <c r="L19" i="7" a="1"/>
  <c r="R19" i="7" a="1"/>
  <c r="L20" i="7" a="1"/>
  <c r="R20" i="7" a="1"/>
  <c r="L21" i="7" a="1"/>
  <c r="R21" i="7" a="1"/>
  <c r="L22" i="7" a="1"/>
  <c r="R22" i="7" a="1"/>
  <c r="L23" i="7" a="1"/>
  <c r="R23" i="7" a="1"/>
  <c r="L24" i="7" a="1"/>
  <c r="R24" i="7" a="1"/>
  <c r="L25" i="7" a="1"/>
  <c r="R25" i="7" a="1"/>
  <c r="L26" i="7" a="1"/>
  <c r="R26" i="7" a="1"/>
  <c r="L27" i="7" a="1"/>
  <c r="R27" i="7" a="1"/>
  <c r="L28" i="7" a="1"/>
  <c r="R28" i="7" a="1"/>
  <c r="L29" i="7" a="1"/>
  <c r="R29" i="7" a="1"/>
  <c r="L30" i="7" a="1"/>
  <c r="R30" i="7" a="1"/>
  <c r="K31" i="7" a="1"/>
  <c r="V31" i="7" a="1"/>
  <c r="H32" i="7" a="1"/>
  <c r="N32" i="7" a="1"/>
  <c r="Y32" i="7" a="1"/>
  <c r="K33" i="7" a="1"/>
  <c r="V33" i="7" a="1"/>
  <c r="H34" i="7" a="1"/>
  <c r="N34" i="7" a="1"/>
  <c r="Y34" i="7" a="1"/>
  <c r="S19" i="7" a="1"/>
  <c r="Y19" i="7" a="1"/>
  <c r="F20" i="7" a="1"/>
  <c r="S20" i="7" a="1"/>
  <c r="Y20" i="7" a="1"/>
  <c r="F21" i="7" a="1"/>
  <c r="S21" i="7" a="1"/>
  <c r="Y21" i="7" a="1"/>
  <c r="F22" i="7" a="1"/>
  <c r="S22" i="7" a="1"/>
  <c r="Y22" i="7" a="1"/>
  <c r="F23" i="7" a="1"/>
  <c r="S23" i="7" a="1"/>
  <c r="Y23" i="7" a="1"/>
  <c r="F24" i="7" a="1"/>
  <c r="Y24" i="7" a="1"/>
  <c r="S25" i="7" a="1"/>
  <c r="F26" i="7" a="1"/>
  <c r="Y26" i="7" a="1"/>
  <c r="S27" i="7" a="1"/>
  <c r="F28" i="7" a="1"/>
  <c r="Y28" i="7" a="1"/>
  <c r="S29" i="7" a="1"/>
  <c r="F30" i="7" a="1"/>
  <c r="Y30" i="7" a="1"/>
  <c r="C32" i="7" a="1"/>
  <c r="I34" i="7" a="1"/>
  <c r="T34" i="7" a="1"/>
  <c r="G20" i="7" a="1"/>
  <c r="M20" i="7" a="1"/>
  <c r="G21" i="7" a="1"/>
  <c r="G22" i="7" a="1"/>
  <c r="M23" i="7" a="1"/>
  <c r="E19" i="7" a="1"/>
  <c r="N19" i="7" a="1"/>
  <c r="T19" i="7" a="1"/>
  <c r="Z19" i="7" a="1"/>
  <c r="N20" i="7" a="1"/>
  <c r="T20" i="7" a="1"/>
  <c r="Z20" i="7" a="1"/>
  <c r="N21" i="7" a="1"/>
  <c r="T21" i="7" a="1"/>
  <c r="Z21" i="7" a="1"/>
  <c r="H19" i="7" a="1"/>
  <c r="AA19" i="7" a="1"/>
  <c r="H20" i="7" a="1"/>
  <c r="AA20" i="7" a="1"/>
  <c r="H21" i="7" a="1"/>
  <c r="AA21" i="7" a="1"/>
  <c r="H22" i="7" a="1"/>
  <c r="I19" i="7" a="1"/>
  <c r="O19" i="7" a="1"/>
  <c r="U19" i="7" a="1"/>
  <c r="I20" i="7" a="1"/>
  <c r="O20" i="7" a="1"/>
  <c r="U20" i="7" a="1"/>
  <c r="I21" i="7" a="1"/>
  <c r="O21" i="7" a="1"/>
  <c r="U21" i="7" a="1"/>
  <c r="I22" i="7" a="1"/>
  <c r="V19" i="7" a="1"/>
  <c r="C20" i="7" a="1"/>
  <c r="V20" i="7" a="1"/>
  <c r="C21" i="7" a="1"/>
  <c r="V21" i="7" a="1"/>
  <c r="C22" i="7" a="1"/>
  <c r="V22" i="7" a="1"/>
  <c r="C23" i="7" a="1"/>
  <c r="V23" i="7" a="1"/>
  <c r="C24" i="7" a="1"/>
  <c r="V24" i="7" a="1"/>
  <c r="C25" i="7" a="1"/>
  <c r="V25" i="7" a="1"/>
  <c r="C26" i="7" a="1"/>
  <c r="V26" i="7" a="1"/>
  <c r="C27" i="7" a="1"/>
  <c r="V27" i="7" a="1"/>
  <c r="C28" i="7" a="1"/>
  <c r="V28" i="7" a="1"/>
  <c r="C29" i="7" a="1"/>
  <c r="V29" i="7" a="1"/>
  <c r="C30" i="7" a="1"/>
  <c r="V30" i="7" a="1"/>
  <c r="C31" i="7" a="1"/>
  <c r="I31" i="7" a="1"/>
  <c r="T31" i="7" a="1"/>
  <c r="F32" i="7" a="1"/>
  <c r="Q32" i="7" a="1"/>
  <c r="C33" i="7" a="1"/>
  <c r="I33" i="7" a="1"/>
  <c r="J19" i="7" a="1"/>
  <c r="P19" i="7" a="1"/>
  <c r="D20" i="7" a="1"/>
  <c r="J20" i="7" a="1"/>
  <c r="P20" i="7" a="1"/>
  <c r="D21" i="7" a="1"/>
  <c r="J21" i="7" a="1"/>
  <c r="P21" i="7" a="1"/>
  <c r="D22" i="7" a="1"/>
  <c r="J22" i="7" a="1"/>
  <c r="P22" i="7" a="1"/>
  <c r="D23" i="7" a="1"/>
  <c r="J23" i="7" a="1"/>
  <c r="P23" i="7" a="1"/>
  <c r="D24" i="7" a="1"/>
  <c r="J24" i="7" a="1"/>
  <c r="P24" i="7" a="1"/>
  <c r="D25" i="7" a="1"/>
  <c r="J25" i="7" a="1"/>
  <c r="P25" i="7" a="1"/>
  <c r="D26" i="7" a="1"/>
  <c r="J26" i="7" a="1"/>
  <c r="P26" i="7" a="1"/>
  <c r="D27" i="7" a="1"/>
  <c r="J27" i="7" a="1"/>
  <c r="P27" i="7" a="1"/>
  <c r="D28" i="7" a="1"/>
  <c r="J28" i="7" a="1"/>
  <c r="P28" i="7" a="1"/>
  <c r="D29" i="7" a="1"/>
  <c r="J29" i="7" a="1"/>
  <c r="P29" i="7" a="1"/>
  <c r="D30" i="7" a="1"/>
  <c r="J30" i="7" a="1"/>
  <c r="P30" i="7" a="1"/>
  <c r="D31" i="7" a="1"/>
  <c r="O31" i="7" a="1"/>
  <c r="Z31" i="7" a="1"/>
  <c r="L32" i="7" a="1"/>
  <c r="W32" i="7" a="1"/>
  <c r="D33" i="7" a="1"/>
  <c r="O33" i="7" a="1"/>
  <c r="Z33" i="7" a="1"/>
  <c r="L34" i="7" a="1"/>
  <c r="W34" i="7" a="1"/>
  <c r="W21" i="7" a="1"/>
  <c r="Q22" i="7" a="1"/>
  <c r="Q23" i="7" a="1"/>
  <c r="Q19" i="7" a="1"/>
  <c r="W19" i="7" a="1"/>
  <c r="Q20" i="7" a="1"/>
  <c r="W20" i="7" a="1"/>
  <c r="Q21" i="7" a="1"/>
  <c r="W22" i="7" a="1"/>
  <c r="Z23" i="7" a="1"/>
  <c r="N24" i="7" a="1"/>
  <c r="Z24" i="7" a="1"/>
  <c r="N25" i="7" a="1"/>
  <c r="Z25" i="7" a="1"/>
  <c r="N26" i="7" a="1"/>
  <c r="Z26" i="7" a="1"/>
  <c r="N27" i="7" a="1"/>
  <c r="Z27" i="7" a="1"/>
  <c r="N28" i="7" a="1"/>
  <c r="Z28" i="7" a="1"/>
  <c r="N29" i="7" a="1"/>
  <c r="Z29" i="7" a="1"/>
  <c r="N30" i="7" a="1"/>
  <c r="Z30" i="7" a="1"/>
  <c r="X31" i="7" a="1"/>
  <c r="J32" i="7" a="1"/>
  <c r="U32" i="7" a="1"/>
  <c r="G33" i="7" a="1"/>
  <c r="N22" i="7" a="1"/>
  <c r="AA23" i="7" a="1"/>
  <c r="AA25" i="7" a="1"/>
  <c r="AA27" i="7" a="1"/>
  <c r="AA28" i="7" a="1"/>
  <c r="AA29" i="7" a="1"/>
  <c r="M31" i="7" a="1"/>
  <c r="R33" i="7" a="1"/>
  <c r="U34" i="7" a="1"/>
  <c r="O25" i="7" a="1"/>
  <c r="O26" i="7" a="1"/>
  <c r="O27" i="7" a="1"/>
  <c r="O29" i="7" a="1"/>
  <c r="N31" i="7" a="1"/>
  <c r="K32" i="7" a="1"/>
  <c r="H33" i="7" a="1"/>
  <c r="D34" i="7" a="1"/>
  <c r="Q28" i="7" a="1"/>
  <c r="Q30" i="7" a="1"/>
  <c r="X32" i="7" a="1"/>
  <c r="T22" i="7" a="1"/>
  <c r="G27" i="7" a="1"/>
  <c r="G29" i="7" a="1"/>
  <c r="D32" i="7" a="1"/>
  <c r="E34" i="7" a="1"/>
  <c r="U33" i="7" a="1"/>
  <c r="P32" i="7" a="1"/>
  <c r="W33" i="7" a="1"/>
  <c r="U30" i="7" a="1"/>
  <c r="X33" i="7" a="1"/>
  <c r="H23" i="7" a="1"/>
  <c r="AA24" i="7" a="1"/>
  <c r="AA26" i="7" a="1"/>
  <c r="AA30" i="7" a="1"/>
  <c r="K34" i="7" a="1"/>
  <c r="O28" i="7" a="1"/>
  <c r="O30" i="7" a="1"/>
  <c r="Y31" i="7" a="1"/>
  <c r="V32" i="7" a="1"/>
  <c r="S33" i="7" a="1"/>
  <c r="Q26" i="7" a="1"/>
  <c r="Q27" i="7" a="1"/>
  <c r="Q29" i="7" a="1"/>
  <c r="J33" i="7" a="1"/>
  <c r="G28" i="7" a="1"/>
  <c r="O32" i="7" a="1"/>
  <c r="O34" i="7" a="1"/>
  <c r="T30" i="7" a="1"/>
  <c r="H30" i="7" a="1"/>
  <c r="AA32" i="7" a="1"/>
  <c r="P34" i="7" a="1"/>
  <c r="G34" i="7" a="1"/>
  <c r="M24" i="7" a="1"/>
  <c r="M30" i="7" a="1"/>
  <c r="W31" i="7" a="1"/>
  <c r="J34" i="7" a="1"/>
  <c r="I23" i="7" a="1"/>
  <c r="O24" i="7" a="1"/>
  <c r="V34" i="7" a="1"/>
  <c r="G24" i="7" a="1"/>
  <c r="G30" i="7" a="1"/>
  <c r="L33" i="7" a="1"/>
  <c r="R31" i="7" a="1"/>
  <c r="S31" i="7" a="1"/>
  <c r="M26" i="7" a="1"/>
  <c r="O22" i="7" a="1"/>
  <c r="N23" i="7" a="1"/>
  <c r="Q24" i="7" a="1"/>
  <c r="Q25" i="7" a="1"/>
  <c r="G26" i="7" a="1"/>
  <c r="Z32" i="7" a="1"/>
  <c r="G31" i="7" a="1"/>
  <c r="Z34" i="7" a="1"/>
  <c r="R34" i="7" a="1"/>
  <c r="G25" i="7" a="1"/>
  <c r="T33" i="7" a="1"/>
  <c r="H29" i="7" a="1"/>
  <c r="M33" i="7" a="1"/>
  <c r="F34" i="7" a="1"/>
  <c r="I30" i="7" a="1"/>
  <c r="N33" i="7" a="1"/>
  <c r="W23" i="7" a="1"/>
  <c r="M28" i="7" a="1"/>
  <c r="Y33" i="7" a="1"/>
  <c r="O23" i="7" a="1"/>
  <c r="T24" i="7" a="1"/>
  <c r="T25" i="7" a="1"/>
  <c r="T26" i="7" a="1"/>
  <c r="T27" i="7" a="1"/>
  <c r="T28" i="7" a="1"/>
  <c r="T29" i="7" a="1"/>
  <c r="X34" i="7" a="1"/>
  <c r="M27" i="7" a="1"/>
  <c r="U22" i="7" a="1"/>
  <c r="T23" i="7" a="1"/>
  <c r="H24" i="7" a="1"/>
  <c r="H25" i="7" a="1"/>
  <c r="H26" i="7" a="1"/>
  <c r="H27" i="7" a="1"/>
  <c r="H28" i="7" a="1"/>
  <c r="E32" i="7" a="1"/>
  <c r="M25" i="7" a="1"/>
  <c r="Z22" i="7" a="1"/>
  <c r="I24" i="7" a="1"/>
  <c r="U24" i="7" a="1"/>
  <c r="I25" i="7" a="1"/>
  <c r="U25" i="7" a="1"/>
  <c r="I26" i="7" a="1"/>
  <c r="U26" i="7" a="1"/>
  <c r="I27" i="7" a="1"/>
  <c r="U27" i="7" a="1"/>
  <c r="I28" i="7" a="1"/>
  <c r="U28" i="7" a="1"/>
  <c r="I29" i="7" a="1"/>
  <c r="U29" i="7" a="1"/>
  <c r="H31" i="7" a="1"/>
  <c r="AA22" i="7" a="1"/>
  <c r="U23" i="7" a="1"/>
  <c r="W24" i="7" a="1"/>
  <c r="W25" i="7" a="1"/>
  <c r="W26" i="7" a="1"/>
  <c r="W27" i="7" a="1"/>
  <c r="W28" i="7" a="1"/>
  <c r="W29" i="7" a="1"/>
  <c r="W30" i="7" a="1"/>
  <c r="J31" i="7" a="1"/>
  <c r="U31" i="7" a="1"/>
  <c r="G32" i="7" a="1"/>
  <c r="R32" i="7" a="1"/>
  <c r="Q34" i="7" a="1"/>
  <c r="AA34" i="7" a="1"/>
  <c r="M29" i="7" a="1"/>
  <c r="L31" i="7" a="1"/>
  <c r="X18" i="7" a="1"/>
  <c r="S18" i="7" a="1"/>
  <c r="N18" i="7" a="1"/>
  <c r="I18" i="7" a="1"/>
  <c r="D18" i="7" a="1"/>
  <c r="X17" i="7" a="1"/>
  <c r="S17" i="7" a="1"/>
  <c r="N17" i="7" a="1"/>
  <c r="I17" i="7" a="1"/>
  <c r="D17" i="7" a="1"/>
  <c r="X16" i="7" a="1"/>
  <c r="S16" i="7" a="1"/>
  <c r="N16" i="7" a="1"/>
  <c r="I16" i="7" a="1"/>
  <c r="D16" i="7" a="1"/>
  <c r="X15" i="7" a="1"/>
  <c r="S15" i="7" a="1"/>
  <c r="N15" i="7" a="1"/>
  <c r="I15" i="7" a="1"/>
  <c r="D15" i="7" a="1"/>
  <c r="X14" i="7" a="1"/>
  <c r="S14" i="7" a="1"/>
  <c r="N14" i="7" a="1"/>
  <c r="I14" i="7" a="1"/>
  <c r="D14" i="7" a="1"/>
  <c r="X13" i="7" a="1"/>
  <c r="S13" i="7" a="1"/>
  <c r="N13" i="7" a="1"/>
  <c r="I13" i="7" a="1"/>
  <c r="D13" i="7" a="1"/>
  <c r="X12" i="7" a="1"/>
  <c r="L65" i="7" a="1"/>
  <c r="Y18" i="7" a="1"/>
  <c r="T18" i="7" a="1"/>
  <c r="O18" i="7" a="1"/>
  <c r="J18" i="7" a="1"/>
  <c r="E18" i="7" a="1"/>
  <c r="Y17" i="7" a="1"/>
  <c r="T17" i="7" a="1"/>
  <c r="O17" i="7" a="1"/>
  <c r="J17" i="7" a="1"/>
  <c r="E17" i="7" a="1"/>
  <c r="Y16" i="7" a="1"/>
  <c r="T16" i="7" a="1"/>
  <c r="O16" i="7" a="1"/>
  <c r="J16" i="7" a="1"/>
  <c r="E16" i="7" a="1"/>
  <c r="Y15" i="7" a="1"/>
  <c r="N65" i="7" a="1"/>
  <c r="D65" i="7" a="1"/>
  <c r="Q18" i="7" a="1"/>
  <c r="U17" i="7" a="1"/>
  <c r="M17" i="7" a="1"/>
  <c r="Q16" i="7" a="1"/>
  <c r="U15" i="7" a="1"/>
  <c r="O15" i="7" a="1"/>
  <c r="H15" i="7" a="1"/>
  <c r="AA14" i="7" a="1"/>
  <c r="U14" i="7" a="1"/>
  <c r="O14" i="7" a="1"/>
  <c r="H14" i="7" a="1"/>
  <c r="AA13" i="7" a="1"/>
  <c r="U13" i="7" a="1"/>
  <c r="O13" i="7" a="1"/>
  <c r="H13" i="7" a="1"/>
  <c r="AA12" i="7" a="1"/>
  <c r="U12" i="7" a="1"/>
  <c r="J12" i="7" a="1"/>
  <c r="X11" i="7" a="1"/>
  <c r="R11" i="7" a="1"/>
  <c r="G11" i="7" a="1"/>
  <c r="F13" i="7" a="1"/>
  <c r="AA11" i="7" a="1"/>
  <c r="E11" i="7" a="1"/>
  <c r="F65" i="7" a="1"/>
  <c r="W18" i="7" a="1"/>
  <c r="AA17" i="7" a="1"/>
  <c r="F17" i="7" a="1"/>
  <c r="W16" i="7" a="1"/>
  <c r="AA15" i="7" a="1"/>
  <c r="O12" i="7" a="1"/>
  <c r="D12" i="7" a="1"/>
  <c r="W11" i="7" a="1"/>
  <c r="L11" i="7" a="1"/>
  <c r="F15" i="7" a="1"/>
  <c r="R14" i="7" a="1"/>
  <c r="F14" i="7" a="1"/>
  <c r="L13" i="7" a="1"/>
  <c r="M12" i="7" a="1"/>
  <c r="P18" i="7" a="1"/>
  <c r="H18" i="7" a="1"/>
  <c r="L17" i="7" a="1"/>
  <c r="P16" i="7" a="1"/>
  <c r="H16" i="7" a="1"/>
  <c r="T15" i="7" a="1"/>
  <c r="M15" i="7" a="1"/>
  <c r="G15" i="7" a="1"/>
  <c r="Z14" i="7" a="1"/>
  <c r="T14" i="7" a="1"/>
  <c r="M14" i="7" a="1"/>
  <c r="G14" i="7" a="1"/>
  <c r="Z13" i="7" a="1"/>
  <c r="T13" i="7" a="1"/>
  <c r="M13" i="7" a="1"/>
  <c r="G13" i="7" a="1"/>
  <c r="Z12" i="7" a="1"/>
  <c r="T12" i="7" a="1"/>
  <c r="I12" i="7" a="1"/>
  <c r="C12" i="7" a="1"/>
  <c r="Q11" i="7" a="1"/>
  <c r="F11" i="7" a="1"/>
  <c r="K17" i="7" a="1"/>
  <c r="G16" i="7" a="1"/>
  <c r="R15" i="7" a="1"/>
  <c r="L15" i="7" a="1"/>
  <c r="Y14" i="7" a="1"/>
  <c r="L14" i="7" a="1"/>
  <c r="R13" i="7" a="1"/>
  <c r="S12" i="7" a="1"/>
  <c r="P11" i="7" a="1"/>
  <c r="M18" i="7" a="1"/>
  <c r="V18" i="7" a="1"/>
  <c r="Z17" i="7" a="1"/>
  <c r="R17" i="7" a="1"/>
  <c r="V16" i="7" a="1"/>
  <c r="Z15" i="7" a="1"/>
  <c r="N12" i="7" a="1"/>
  <c r="H12" i="7" a="1"/>
  <c r="V11" i="7" a="1"/>
  <c r="K11" i="7" a="1"/>
  <c r="G18" i="7" a="1"/>
  <c r="C17" i="7" a="1"/>
  <c r="Y13" i="7" a="1"/>
  <c r="Y12" i="7" a="1"/>
  <c r="U16" i="7" a="1"/>
  <c r="U18" i="7" a="1"/>
  <c r="Q17" i="7" a="1"/>
  <c r="M16" i="7" a="1"/>
  <c r="AA18" i="7" a="1"/>
  <c r="J65" i="7" a="1"/>
  <c r="Z18" i="7" a="1"/>
  <c r="R18" i="7" a="1"/>
  <c r="V17" i="7" a="1"/>
  <c r="Z16" i="7" a="1"/>
  <c r="R16" i="7" a="1"/>
  <c r="V15" i="7" a="1"/>
  <c r="P15" i="7" a="1"/>
  <c r="J15" i="7" a="1"/>
  <c r="C15" i="7" a="1"/>
  <c r="V14" i="7" a="1"/>
  <c r="P14" i="7" a="1"/>
  <c r="J14" i="7" a="1"/>
  <c r="C14" i="7" a="1"/>
  <c r="V13" i="7" a="1"/>
  <c r="P13" i="7" a="1"/>
  <c r="J13" i="7" a="1"/>
  <c r="C13" i="7" a="1"/>
  <c r="V12" i="7" a="1"/>
  <c r="K12" i="7" a="1"/>
  <c r="Y11" i="7" a="1"/>
  <c r="H65" i="7" a="1"/>
  <c r="K18" i="7" a="1"/>
  <c r="C18" i="7" a="1"/>
  <c r="W15" i="7" a="1"/>
  <c r="W12" i="7" a="1"/>
  <c r="I11" i="7" a="1"/>
  <c r="E14" i="7" a="1"/>
  <c r="G12" i="7" a="1"/>
  <c r="T11" i="7" a="1"/>
  <c r="H11" i="7" a="1"/>
  <c r="S11" i="7" a="1"/>
  <c r="P17" i="7" a="1"/>
  <c r="F12" i="7" a="1"/>
  <c r="L16" i="7" a="1"/>
  <c r="K16" i="7" a="1"/>
  <c r="P12" i="7" a="1"/>
  <c r="C11" i="7" a="1"/>
  <c r="W14" i="7" a="1"/>
  <c r="K13" i="7" a="1"/>
  <c r="Q15" i="7" a="1"/>
  <c r="R12" i="7" a="1"/>
  <c r="O11" i="7" a="1"/>
  <c r="Q14" i="7" a="1"/>
  <c r="H17" i="7" a="1"/>
  <c r="E13" i="7" a="1"/>
  <c r="N11" i="7" a="1"/>
  <c r="G17" i="7" a="1"/>
  <c r="AA16" i="7" a="1"/>
  <c r="W17" i="7" a="1"/>
  <c r="U11" i="7" a="1"/>
  <c r="L18" i="7" a="1"/>
  <c r="W13" i="7" a="1"/>
  <c r="E12" i="7" a="1"/>
  <c r="D11" i="7" a="1"/>
  <c r="F18" i="7" a="1"/>
  <c r="K15" i="7" a="1"/>
  <c r="Z11" i="7" a="1"/>
  <c r="F16" i="7" a="1"/>
  <c r="K14" i="7" a="1"/>
  <c r="L12" i="7" a="1"/>
  <c r="C16" i="7" a="1"/>
  <c r="Q12" i="7" a="1"/>
  <c r="M11" i="7" a="1"/>
  <c r="Q13" i="7" a="1"/>
  <c r="J11" i="7" a="1"/>
  <c r="E15" i="7" a="1"/>
  <c r="X18" i="6" a="1"/>
  <c r="S18" i="6" a="1"/>
  <c r="N18" i="6" a="1"/>
  <c r="I18" i="6" a="1"/>
  <c r="D18" i="6" a="1"/>
  <c r="X17" i="6" a="1"/>
  <c r="S17" i="6" a="1"/>
  <c r="N17" i="6" a="1"/>
  <c r="L65" i="6" a="1"/>
  <c r="W18" i="6" a="1"/>
  <c r="R18" i="6" a="1"/>
  <c r="M18" i="6" a="1"/>
  <c r="H18" i="6" a="1"/>
  <c r="C18" i="6" a="1"/>
  <c r="N65" i="6" a="1"/>
  <c r="AA18" i="6" a="1"/>
  <c r="F18" i="6" a="1"/>
  <c r="F17" i="6" a="1"/>
  <c r="T16" i="6" a="1"/>
  <c r="I16" i="6" a="1"/>
  <c r="C16" i="6" a="1"/>
  <c r="Q15" i="6" a="1"/>
  <c r="F15" i="6" a="1"/>
  <c r="T14" i="6" a="1"/>
  <c r="I14" i="6" a="1"/>
  <c r="C14" i="6" a="1"/>
  <c r="Q13" i="6" a="1"/>
  <c r="F13" i="6" a="1"/>
  <c r="T12" i="6" a="1"/>
  <c r="I12" i="6" a="1"/>
  <c r="C12" i="6" a="1"/>
  <c r="Q11" i="6" a="1"/>
  <c r="F11" i="6" a="1"/>
  <c r="L18" i="6" a="1"/>
  <c r="Q17" i="6" a="1"/>
  <c r="Y16" i="6" a="1"/>
  <c r="N16" i="6" a="1"/>
  <c r="V15" i="6" a="1"/>
  <c r="Y14" i="6" a="1"/>
  <c r="N14" i="6" a="1"/>
  <c r="J65" i="6" a="1"/>
  <c r="T18" i="6" a="1"/>
  <c r="W17" i="6" a="1"/>
  <c r="K17" i="6" a="1"/>
  <c r="H16" i="6" a="1"/>
  <c r="K15" i="6" a="1"/>
  <c r="H14" i="6" a="1"/>
  <c r="V13" i="6" a="1"/>
  <c r="Z18" i="6" a="1"/>
  <c r="E18" i="6" a="1"/>
  <c r="E17" i="6" a="1"/>
  <c r="S16" i="6" a="1"/>
  <c r="M16" i="6" a="1"/>
  <c r="AA15" i="6" a="1"/>
  <c r="P15" i="6" a="1"/>
  <c r="E15" i="6" a="1"/>
  <c r="S14" i="6" a="1"/>
  <c r="M14" i="6" a="1"/>
  <c r="AA13" i="6" a="1"/>
  <c r="P13" i="6" a="1"/>
  <c r="E13" i="6" a="1"/>
  <c r="S12" i="6" a="1"/>
  <c r="M12" i="6" a="1"/>
  <c r="AA11" i="6" a="1"/>
  <c r="P11" i="6" a="1"/>
  <c r="E11" i="6" a="1"/>
  <c r="O18" i="6" a="1"/>
  <c r="G18" i="6" a="1"/>
  <c r="G17" i="6" a="1"/>
  <c r="U16" i="6" a="1"/>
  <c r="J16" i="6" a="1"/>
  <c r="X15" i="6" a="1"/>
  <c r="F65" i="6" a="1"/>
  <c r="K18" i="6" a="1"/>
  <c r="Z17" i="6" a="1"/>
  <c r="O17" i="6" a="1"/>
  <c r="S15" i="6" a="1"/>
  <c r="J15" i="6" a="1"/>
  <c r="M13" i="6" a="1"/>
  <c r="W12" i="6" a="1"/>
  <c r="J12" i="6" a="1"/>
  <c r="N11" i="6" a="1"/>
  <c r="G11" i="6" a="1"/>
  <c r="J17" i="6" a="1"/>
  <c r="O15" i="6" a="1"/>
  <c r="R13" i="6" a="1"/>
  <c r="N12" i="6" a="1"/>
  <c r="K11" i="6" a="1"/>
  <c r="W14" i="6" a="1"/>
  <c r="AA12" i="6" a="1"/>
  <c r="J11" i="6" a="1"/>
  <c r="P16" i="6" a="1"/>
  <c r="P18" i="6" a="1"/>
  <c r="O14" i="6" a="1"/>
  <c r="E12" i="6" a="1"/>
  <c r="Y17" i="6" a="1"/>
  <c r="D17" i="6" a="1"/>
  <c r="K16" i="6" a="1"/>
  <c r="Z15" i="6" a="1"/>
  <c r="R15" i="6" a="1"/>
  <c r="AA14" i="6" a="1"/>
  <c r="R14" i="6" a="1"/>
  <c r="K14" i="6" a="1"/>
  <c r="D14" i="6" a="1"/>
  <c r="T13" i="6" a="1"/>
  <c r="P12" i="6" a="1"/>
  <c r="T11" i="6" a="1"/>
  <c r="M11" i="6" a="1"/>
  <c r="U17" i="6" a="1"/>
  <c r="G16" i="6" a="1"/>
  <c r="X14" i="6" a="1"/>
  <c r="U12" i="6" a="1"/>
  <c r="R11" i="6" a="1"/>
  <c r="P14" i="6" a="1"/>
  <c r="X16" i="6" a="1"/>
  <c r="N15" i="6" a="1"/>
  <c r="X11" i="6" a="1"/>
  <c r="H17" i="6" a="1"/>
  <c r="H13" i="6" a="1"/>
  <c r="D65" i="6" a="1"/>
  <c r="V18" i="6" a="1"/>
  <c r="J18" i="6" a="1"/>
  <c r="V17" i="6" a="1"/>
  <c r="M17" i="6" a="1"/>
  <c r="C17" i="6" a="1"/>
  <c r="R16" i="6" a="1"/>
  <c r="I15" i="6" a="1"/>
  <c r="L13" i="6" a="1"/>
  <c r="D13" i="6" a="1"/>
  <c r="V12" i="6" a="1"/>
  <c r="H12" i="6" a="1"/>
  <c r="Z11" i="6" a="1"/>
  <c r="AA16" i="6" a="1"/>
  <c r="D11" i="6" a="1"/>
  <c r="Z16" i="6" a="1"/>
  <c r="G14" i="6" a="1"/>
  <c r="U15" i="6" a="1"/>
  <c r="L12" i="6" a="1"/>
  <c r="R17" i="6" a="1"/>
  <c r="X13" i="6" a="1"/>
  <c r="U18" i="6" a="1"/>
  <c r="L17" i="6" a="1"/>
  <c r="Y15" i="6" a="1"/>
  <c r="H15" i="6" a="1"/>
  <c r="Z14" i="6" a="1"/>
  <c r="Q14" i="6" a="1"/>
  <c r="J14" i="6" a="1"/>
  <c r="Z13" i="6" a="1"/>
  <c r="S13" i="6" a="1"/>
  <c r="K13" i="6" a="1"/>
  <c r="C13" i="6" a="1"/>
  <c r="O12" i="6" a="1"/>
  <c r="G12" i="6" a="1"/>
  <c r="S11" i="6" a="1"/>
  <c r="L11" i="6" a="1"/>
  <c r="Q16" i="6" a="1"/>
  <c r="J13" i="6" a="1"/>
  <c r="Y11" i="6" a="1"/>
  <c r="Q18" i="6" a="1"/>
  <c r="Y13" i="6" a="1"/>
  <c r="F12" i="6" a="1"/>
  <c r="T17" i="6" a="1"/>
  <c r="I13" i="6" a="1"/>
  <c r="W16" i="6" a="1"/>
  <c r="O13" i="6" a="1"/>
  <c r="W15" i="6" a="1"/>
  <c r="F16" i="6" a="1"/>
  <c r="C11" i="6" a="1"/>
  <c r="F14" i="6" a="1"/>
  <c r="G15" i="6" a="1"/>
  <c r="I17" i="6" a="1"/>
  <c r="O16" i="6" a="1"/>
  <c r="R12" i="6" a="1"/>
  <c r="AA17" i="6" a="1"/>
  <c r="P17" i="6" a="1"/>
  <c r="E16" i="6" a="1"/>
  <c r="T15" i="6" a="1"/>
  <c r="D15" i="6" a="1"/>
  <c r="W13" i="6" a="1"/>
  <c r="Y12" i="6" a="1"/>
  <c r="K12" i="6" a="1"/>
  <c r="V11" i="6" a="1"/>
  <c r="O11" i="6" a="1"/>
  <c r="H11" i="6" a="1"/>
  <c r="V16" i="6" a="1"/>
  <c r="D16" i="6" a="1"/>
  <c r="C15" i="6" a="1"/>
  <c r="X12" i="6" a="1"/>
  <c r="U11" i="6" a="1"/>
  <c r="V14" i="6" a="1"/>
  <c r="W11" i="6" a="1"/>
  <c r="H65" i="6" a="1"/>
  <c r="Y18" i="6" a="1"/>
  <c r="L16" i="6" a="1"/>
  <c r="L15" i="6" a="1"/>
  <c r="U14" i="6" a="1"/>
  <c r="L14" i="6" a="1"/>
  <c r="E14" i="6" a="1"/>
  <c r="U13" i="6" a="1"/>
  <c r="N13" i="6" a="1"/>
  <c r="G13" i="6" a="1"/>
  <c r="Q12" i="6" a="1"/>
  <c r="D12" i="6" a="1"/>
  <c r="M15" i="6" a="1"/>
  <c r="Z12" i="6" a="1"/>
  <c r="I11" i="6" a="1"/>
  <c r="X18" i="5" a="1"/>
  <c r="S18" i="5" a="1"/>
  <c r="N18" i="5" a="1"/>
  <c r="I18" i="5" a="1"/>
  <c r="D18" i="5" a="1"/>
  <c r="X17" i="5" a="1"/>
  <c r="S17" i="5" a="1"/>
  <c r="N17" i="5" a="1"/>
  <c r="I17" i="5" a="1"/>
  <c r="D17" i="5" a="1"/>
  <c r="X16" i="5" a="1"/>
  <c r="S16" i="5" a="1"/>
  <c r="N16" i="5" a="1"/>
  <c r="I16" i="5" a="1"/>
  <c r="D16" i="5" a="1"/>
  <c r="X15" i="5" a="1"/>
  <c r="S15" i="5" a="1"/>
  <c r="N15" i="5" a="1"/>
  <c r="I15" i="5" a="1"/>
  <c r="D15" i="5" a="1"/>
  <c r="X14" i="5" a="1"/>
  <c r="S14" i="5" a="1"/>
  <c r="N14" i="5" a="1"/>
  <c r="I14" i="5" a="1"/>
  <c r="D14" i="5" a="1"/>
  <c r="X13" i="5" a="1"/>
  <c r="S13" i="5" a="1"/>
  <c r="N13" i="5" a="1"/>
  <c r="J65" i="5" a="1"/>
  <c r="F65" i="5" a="1"/>
  <c r="D65" i="5" a="1"/>
  <c r="P18" i="5" a="1"/>
  <c r="G18" i="5" a="1"/>
  <c r="P17" i="5" a="1"/>
  <c r="G17" i="5" a="1"/>
  <c r="P16" i="5" a="1"/>
  <c r="G16" i="5" a="1"/>
  <c r="P15" i="5" a="1"/>
  <c r="G15" i="5" a="1"/>
  <c r="P14" i="5" a="1"/>
  <c r="G14" i="5" a="1"/>
  <c r="P13" i="5" a="1"/>
  <c r="H13" i="5" a="1"/>
  <c r="Z12" i="5" a="1"/>
  <c r="D12" i="5" a="1"/>
  <c r="V11" i="5" a="1"/>
  <c r="O11" i="5" a="1"/>
  <c r="H11" i="5" a="1"/>
  <c r="O18" i="5" a="1"/>
  <c r="O17" i="5" a="1"/>
  <c r="O16" i="5" a="1"/>
  <c r="O13" i="5" a="1"/>
  <c r="AA13" i="5" a="1"/>
  <c r="K11" i="5" a="1"/>
  <c r="R17" i="5" a="1"/>
  <c r="C13" i="5" a="1"/>
  <c r="H65" i="5" a="1"/>
  <c r="W18" i="5" a="1"/>
  <c r="W17" i="5" a="1"/>
  <c r="W16" i="5" a="1"/>
  <c r="W15" i="5" a="1"/>
  <c r="O15" i="5" a="1"/>
  <c r="W14" i="5" a="1"/>
  <c r="O14" i="5" a="1"/>
  <c r="W13" i="5" a="1"/>
  <c r="G13" i="5" a="1"/>
  <c r="Y12" i="5" a="1"/>
  <c r="R12" i="5" a="1"/>
  <c r="K12" i="5" a="1"/>
  <c r="N11" i="5" a="1"/>
  <c r="G11" i="5" a="1"/>
  <c r="U11" i="5" a="1"/>
  <c r="AA17" i="5" a="1"/>
  <c r="K15" i="5" a="1"/>
  <c r="K13" i="5" a="1"/>
  <c r="R11" i="5" a="1"/>
  <c r="R15" i="5" a="1"/>
  <c r="R13" i="5" a="1"/>
  <c r="C11" i="5" a="1"/>
  <c r="V18" i="5" a="1"/>
  <c r="F18" i="5" a="1"/>
  <c r="V17" i="5" a="1"/>
  <c r="F17" i="5" a="1"/>
  <c r="V16" i="5" a="1"/>
  <c r="F16" i="5" a="1"/>
  <c r="V15" i="5" a="1"/>
  <c r="F15" i="5" a="1"/>
  <c r="V14" i="5" a="1"/>
  <c r="F14" i="5" a="1"/>
  <c r="V13" i="5" a="1"/>
  <c r="X12" i="5" a="1"/>
  <c r="Q12" i="5" a="1"/>
  <c r="J12" i="5" a="1"/>
  <c r="C12" i="5" a="1"/>
  <c r="G12" i="5" a="1"/>
  <c r="R18" i="5" a="1"/>
  <c r="M18" i="5" a="1"/>
  <c r="E18" i="5" a="1"/>
  <c r="M17" i="5" a="1"/>
  <c r="E17" i="5" a="1"/>
  <c r="M16" i="5" a="1"/>
  <c r="E16" i="5" a="1"/>
  <c r="M15" i="5" a="1"/>
  <c r="E15" i="5" a="1"/>
  <c r="M14" i="5" a="1"/>
  <c r="E14" i="5" a="1"/>
  <c r="M13" i="5" a="1"/>
  <c r="F13" i="5" a="1"/>
  <c r="I12" i="5" a="1"/>
  <c r="AA11" i="5" a="1"/>
  <c r="T11" i="5" a="1"/>
  <c r="M11" i="5" a="1"/>
  <c r="F11" i="5" a="1"/>
  <c r="U17" i="5" a="1"/>
  <c r="L13" i="5" a="1"/>
  <c r="S11" i="5" a="1"/>
  <c r="K18" i="5" a="1"/>
  <c r="AA15" i="5" a="1"/>
  <c r="Y11" i="5" a="1"/>
  <c r="R16" i="5" a="1"/>
  <c r="R14" i="5" a="1"/>
  <c r="U12" i="5" a="1"/>
  <c r="X11" i="5" a="1"/>
  <c r="Y13" i="5" a="1"/>
  <c r="E12" i="5" a="1"/>
  <c r="U18" i="5" a="1"/>
  <c r="L18" i="5" a="1"/>
  <c r="L17" i="5" a="1"/>
  <c r="U16" i="5" a="1"/>
  <c r="L16" i="5" a="1"/>
  <c r="U15" i="5" a="1"/>
  <c r="L15" i="5" a="1"/>
  <c r="U14" i="5" a="1"/>
  <c r="L14" i="5" a="1"/>
  <c r="U13" i="5" a="1"/>
  <c r="E13" i="5" a="1"/>
  <c r="W12" i="5" a="1"/>
  <c r="P12" i="5" a="1"/>
  <c r="L11" i="5" a="1"/>
  <c r="E11" i="5" a="1"/>
  <c r="K17" i="5" a="1"/>
  <c r="K16" i="5" a="1"/>
  <c r="K14" i="5" a="1"/>
  <c r="N12" i="5" a="1"/>
  <c r="J17" i="5" a="1"/>
  <c r="J14" i="5" a="1"/>
  <c r="J11" i="5" a="1"/>
  <c r="S12" i="5" a="1"/>
  <c r="P11" i="5" a="1"/>
  <c r="T18" i="5" a="1"/>
  <c r="C18" i="5" a="1"/>
  <c r="T17" i="5" a="1"/>
  <c r="C17" i="5" a="1"/>
  <c r="T16" i="5" a="1"/>
  <c r="C16" i="5" a="1"/>
  <c r="T15" i="5" a="1"/>
  <c r="C15" i="5" a="1"/>
  <c r="T14" i="5" a="1"/>
  <c r="C14" i="5" a="1"/>
  <c r="T13" i="5" a="1"/>
  <c r="D13" i="5" a="1"/>
  <c r="V12" i="5" a="1"/>
  <c r="O12" i="5" a="1"/>
  <c r="H12" i="5" a="1"/>
  <c r="Z11" i="5" a="1"/>
  <c r="D11" i="5" a="1"/>
  <c r="AA18" i="5" a="1"/>
  <c r="AA16" i="5" a="1"/>
  <c r="AA14" i="5" a="1"/>
  <c r="J18" i="5" a="1"/>
  <c r="J16" i="5" a="1"/>
  <c r="J15" i="5" a="1"/>
  <c r="J13" i="5" a="1"/>
  <c r="Q11" i="5" a="1"/>
  <c r="L12" i="5" a="1"/>
  <c r="W11" i="5" a="1"/>
  <c r="L65" i="5" a="1"/>
  <c r="Z18" i="5" a="1"/>
  <c r="Q18" i="5" a="1"/>
  <c r="Z17" i="5" a="1"/>
  <c r="Q17" i="5" a="1"/>
  <c r="Z16" i="5" a="1"/>
  <c r="Q16" i="5" a="1"/>
  <c r="Z15" i="5" a="1"/>
  <c r="Q15" i="5" a="1"/>
  <c r="Z14" i="5" a="1"/>
  <c r="Q14" i="5" a="1"/>
  <c r="Z13" i="5" a="1"/>
  <c r="Q13" i="5" a="1"/>
  <c r="I13" i="5" a="1"/>
  <c r="AA12" i="5" a="1"/>
  <c r="T12" i="5" a="1"/>
  <c r="M12" i="5" a="1"/>
  <c r="F12" i="5" a="1"/>
  <c r="I11" i="5" a="1"/>
  <c r="Y18" i="5" a="1"/>
  <c r="H18" i="5" a="1"/>
  <c r="Y17" i="5" a="1"/>
  <c r="H17" i="5" a="1"/>
  <c r="Y16" i="5" a="1"/>
  <c r="H16" i="5" a="1"/>
  <c r="Y15" i="5" a="1"/>
  <c r="H15" i="5" a="1"/>
  <c r="Y14" i="5" a="1"/>
  <c r="H14" i="5" a="1"/>
  <c r="X18" i="4" a="1"/>
  <c r="S18" i="4" a="1"/>
  <c r="N18" i="4" a="1"/>
  <c r="I18" i="4" a="1"/>
  <c r="D18" i="4" a="1"/>
  <c r="X17" i="4" a="1"/>
  <c r="S17" i="4" a="1"/>
  <c r="N17" i="4" a="1"/>
  <c r="I17" i="4" a="1"/>
  <c r="D17" i="4" a="1"/>
  <c r="X16" i="4" a="1"/>
  <c r="S16" i="4" a="1"/>
  <c r="N16" i="4" a="1"/>
  <c r="I16" i="4" a="1"/>
  <c r="D16" i="4" a="1"/>
  <c r="X15" i="4" a="1"/>
  <c r="S15" i="4" a="1"/>
  <c r="N15" i="4" a="1"/>
  <c r="I15" i="4" a="1"/>
  <c r="D15" i="4" a="1"/>
  <c r="X14" i="4" a="1"/>
  <c r="S14" i="4" a="1"/>
  <c r="N14" i="4" a="1"/>
  <c r="I14" i="4" a="1"/>
  <c r="D14" i="4" a="1"/>
  <c r="X13" i="4" a="1"/>
  <c r="L65" i="4" a="1"/>
  <c r="W18" i="4" a="1"/>
  <c r="R18" i="4" a="1"/>
  <c r="H18" i="4" a="1"/>
  <c r="F65" i="4" a="1"/>
  <c r="D65" i="4" a="1"/>
  <c r="P18" i="4" a="1"/>
  <c r="J18" i="4" a="1"/>
  <c r="P13" i="4" a="1"/>
  <c r="E13" i="4" a="1"/>
  <c r="S12" i="4" a="1"/>
  <c r="M12" i="4" a="1"/>
  <c r="AA11" i="4" a="1"/>
  <c r="P11" i="4" a="1"/>
  <c r="E11" i="4" a="1"/>
  <c r="U14" i="4" a="1"/>
  <c r="AA13" i="4" a="1"/>
  <c r="U13" i="4" a="1"/>
  <c r="X12" i="4" a="1"/>
  <c r="U11" i="4" a="1"/>
  <c r="J11" i="4" a="1"/>
  <c r="O18" i="4" a="1"/>
  <c r="P65" i="4" a="1"/>
  <c r="V18" i="4" a="1"/>
  <c r="AA17" i="4" a="1"/>
  <c r="U17" i="4" a="1"/>
  <c r="O17" i="4" a="1"/>
  <c r="H17" i="4" a="1"/>
  <c r="AA16" i="4" a="1"/>
  <c r="U16" i="4" a="1"/>
  <c r="O16" i="4" a="1"/>
  <c r="H16" i="4" a="1"/>
  <c r="AA15" i="4" a="1"/>
  <c r="U15" i="4" a="1"/>
  <c r="O15" i="4" a="1"/>
  <c r="H15" i="4" a="1"/>
  <c r="AA14" i="4" a="1"/>
  <c r="O14" i="4" a="1"/>
  <c r="H14" i="4" a="1"/>
  <c r="J13" i="4" a="1"/>
  <c r="R12" i="4" a="1"/>
  <c r="G12" i="4" a="1"/>
  <c r="V17" i="4" a="1"/>
  <c r="E17" i="4" a="1"/>
  <c r="V16" i="4" a="1"/>
  <c r="M16" i="4" a="1"/>
  <c r="F16" i="4" a="1"/>
  <c r="W15" i="4" a="1"/>
  <c r="P15" i="4" a="1"/>
  <c r="G15" i="4" a="1"/>
  <c r="Y14" i="4" a="1"/>
  <c r="Q14" i="4" a="1"/>
  <c r="J14" i="4" a="1"/>
  <c r="Z13" i="4" a="1"/>
  <c r="S13" i="4" a="1"/>
  <c r="L13" i="4" a="1"/>
  <c r="P12" i="4" a="1"/>
  <c r="T11" i="4" a="1"/>
  <c r="M11" i="4" a="1"/>
  <c r="V12" i="4" a="1"/>
  <c r="Z11" i="4" a="1"/>
  <c r="F11" i="4" a="1"/>
  <c r="L16" i="4" a="1"/>
  <c r="V15" i="4" a="1"/>
  <c r="M15" i="4" a="1"/>
  <c r="W14" i="4" a="1"/>
  <c r="G14" i="4" a="1"/>
  <c r="K13" i="4" a="1"/>
  <c r="H12" i="4" a="1"/>
  <c r="L11" i="4" a="1"/>
  <c r="T15" i="4" a="1"/>
  <c r="F14" i="4" a="1"/>
  <c r="AA12" i="4" a="1"/>
  <c r="K11" i="4" a="1"/>
  <c r="J17" i="4" a="1"/>
  <c r="T12" i="4" a="1"/>
  <c r="Y17" i="4" a="1"/>
  <c r="T13" i="4" a="1"/>
  <c r="Y18" i="4" a="1"/>
  <c r="M18" i="4" a="1"/>
  <c r="E18" i="4" a="1"/>
  <c r="T17" i="4" a="1"/>
  <c r="L17" i="4" a="1"/>
  <c r="R13" i="4" a="1"/>
  <c r="D13" i="4" a="1"/>
  <c r="I12" i="4" a="1"/>
  <c r="T16" i="4" a="1"/>
  <c r="E16" i="4" a="1"/>
  <c r="F15" i="4" a="1"/>
  <c r="P14" i="4" a="1"/>
  <c r="Y13" i="4" a="1"/>
  <c r="C13" i="4" a="1"/>
  <c r="E15" i="4" a="1"/>
  <c r="W13" i="4" a="1"/>
  <c r="N12" i="4" a="1"/>
  <c r="L12" i="4" a="1"/>
  <c r="J65" i="4" a="1"/>
  <c r="L14" i="4" a="1"/>
  <c r="M13" i="4" a="1"/>
  <c r="C17" i="4" a="1"/>
  <c r="O12" i="4" a="1"/>
  <c r="S11" i="4" a="1"/>
  <c r="L15" i="4" a="1"/>
  <c r="M14" i="4" a="1"/>
  <c r="I13" i="4" a="1"/>
  <c r="F12" i="4" a="1"/>
  <c r="Q17" i="4" a="1"/>
  <c r="U18" i="4" a="1"/>
  <c r="L18" i="4" a="1"/>
  <c r="C18" i="4" a="1"/>
  <c r="R17" i="4" a="1"/>
  <c r="K17" i="4" a="1"/>
  <c r="Q13" i="4" a="1"/>
  <c r="U12" i="4" a="1"/>
  <c r="Y11" i="4" a="1"/>
  <c r="R11" i="4" a="1"/>
  <c r="D11" i="4" a="1"/>
  <c r="V14" i="4" a="1"/>
  <c r="C11" i="4" a="1"/>
  <c r="H13" i="4" a="1"/>
  <c r="Y16" i="4" a="1"/>
  <c r="R15" i="4" a="1"/>
  <c r="K15" i="4" a="1"/>
  <c r="E14" i="4" a="1"/>
  <c r="E12" i="4" a="1"/>
  <c r="I11" i="4" a="1"/>
  <c r="G13" i="4" a="1"/>
  <c r="H11" i="4" a="1"/>
  <c r="P16" i="4" a="1"/>
  <c r="Q15" i="4" a="1"/>
  <c r="C14" i="4" a="1"/>
  <c r="M17" i="4" a="1"/>
  <c r="J12" i="4" a="1"/>
  <c r="G11" i="4" a="1"/>
  <c r="Z17" i="4" a="1"/>
  <c r="Z16" i="4" a="1"/>
  <c r="R16" i="4" a="1"/>
  <c r="K16" i="4" a="1"/>
  <c r="C16" i="4" a="1"/>
  <c r="O13" i="4" a="1"/>
  <c r="Q11" i="4" a="1"/>
  <c r="Q16" i="4" a="1"/>
  <c r="Z14" i="4" a="1"/>
  <c r="Q12" i="4" a="1"/>
  <c r="N65" i="4" a="1"/>
  <c r="T18" i="4" a="1"/>
  <c r="K18" i="4" a="1"/>
  <c r="X11" i="4" a="1"/>
  <c r="G17" i="4" a="1"/>
  <c r="Z15" i="4" a="1"/>
  <c r="C15" i="4" a="1"/>
  <c r="N13" i="4" a="1"/>
  <c r="O11" i="4" a="1"/>
  <c r="Y15" i="4" a="1"/>
  <c r="R14" i="4" a="1"/>
  <c r="Y12" i="4" a="1"/>
  <c r="F18" i="4" a="1"/>
  <c r="W12" i="4" a="1"/>
  <c r="J16" i="4" a="1"/>
  <c r="T14" i="4" a="1"/>
  <c r="V13" i="4" a="1"/>
  <c r="Z12" i="4" a="1"/>
  <c r="W11" i="4" a="1"/>
  <c r="K12" i="4" a="1"/>
  <c r="W16" i="4" a="1"/>
  <c r="J15" i="4" a="1"/>
  <c r="V11" i="4" a="1"/>
  <c r="Z18" i="4" a="1"/>
  <c r="C12" i="4" a="1"/>
  <c r="AA18" i="4" a="1"/>
  <c r="G18" i="4" a="1"/>
  <c r="P17" i="4" a="1"/>
  <c r="H65" i="4" a="1"/>
  <c r="Q18" i="4" a="1"/>
  <c r="W17" i="4" a="1"/>
  <c r="F17" i="4" a="1"/>
  <c r="G16" i="4" a="1"/>
  <c r="K14" i="4" a="1"/>
  <c r="D12" i="4" a="1"/>
  <c r="F13" i="4" a="1"/>
  <c r="N11" i="4" a="1"/>
  <c r="X18" i="3" a="1"/>
  <c r="S18" i="3" a="1"/>
  <c r="N18" i="3" a="1"/>
  <c r="I18" i="3" a="1"/>
  <c r="D18" i="3" a="1"/>
  <c r="X17" i="3" a="1"/>
  <c r="S17" i="3" a="1"/>
  <c r="N17" i="3" a="1"/>
  <c r="I17" i="3" a="1"/>
  <c r="D17" i="3" a="1"/>
  <c r="X16" i="3" a="1"/>
  <c r="S16" i="3" a="1"/>
  <c r="N16" i="3" a="1"/>
  <c r="I16" i="3" a="1"/>
  <c r="D16" i="3" a="1"/>
  <c r="X15" i="3" a="1"/>
  <c r="S15" i="3" a="1"/>
  <c r="N15" i="3" a="1"/>
  <c r="I15" i="3" a="1"/>
  <c r="D15" i="3" a="1"/>
  <c r="X14" i="3" a="1"/>
  <c r="S14" i="3" a="1"/>
  <c r="N14" i="3" a="1"/>
  <c r="I14" i="3" a="1"/>
  <c r="D14" i="3" a="1"/>
  <c r="X13" i="3" a="1"/>
  <c r="S13" i="3" a="1"/>
  <c r="N13" i="3" a="1"/>
  <c r="I13" i="3" a="1"/>
  <c r="L65" i="3" a="1"/>
  <c r="W18" i="3" a="1"/>
  <c r="R18" i="3" a="1"/>
  <c r="M18" i="3" a="1"/>
  <c r="H18" i="3" a="1"/>
  <c r="F65" i="3" a="1"/>
  <c r="Y18" i="3" a="1"/>
  <c r="T18" i="3" a="1"/>
  <c r="J18" i="3" a="1"/>
  <c r="K18" i="3" a="1"/>
  <c r="AA17" i="3" a="1"/>
  <c r="T17" i="3" a="1"/>
  <c r="F17" i="3" a="1"/>
  <c r="W16" i="3" a="1"/>
  <c r="AA15" i="3" a="1"/>
  <c r="T15" i="3" a="1"/>
  <c r="F15" i="3" a="1"/>
  <c r="W14" i="3" a="1"/>
  <c r="Q14" i="3" a="1"/>
  <c r="K14" i="3" a="1"/>
  <c r="W13" i="3" a="1"/>
  <c r="Q13" i="3" a="1"/>
  <c r="K13" i="3" a="1"/>
  <c r="X12" i="3" a="1"/>
  <c r="M12" i="3" a="1"/>
  <c r="AA11" i="3" a="1"/>
  <c r="P11" i="3" a="1"/>
  <c r="J11" i="3" a="1"/>
  <c r="G16" i="3" a="1"/>
  <c r="C15" i="3" a="1"/>
  <c r="W15" i="3" a="1"/>
  <c r="AA12" i="3" a="1"/>
  <c r="H17" i="3" a="1"/>
  <c r="H15" i="3" a="1"/>
  <c r="M13" i="3" a="1"/>
  <c r="D12" i="3" a="1"/>
  <c r="L17" i="3" a="1"/>
  <c r="E17" i="3" a="1"/>
  <c r="P16" i="3" a="1"/>
  <c r="H16" i="3" a="1"/>
  <c r="L15" i="3" a="1"/>
  <c r="E15" i="3" a="1"/>
  <c r="J14" i="3" a="1"/>
  <c r="J13" i="3" a="1"/>
  <c r="D13" i="3" a="1"/>
  <c r="R12" i="3" a="1"/>
  <c r="G12" i="3" a="1"/>
  <c r="U11" i="3" a="1"/>
  <c r="O11" i="3" a="1"/>
  <c r="D11" i="3" a="1"/>
  <c r="AA18" i="3" a="1"/>
  <c r="Z17" i="3" a="1"/>
  <c r="R17" i="3" a="1"/>
  <c r="O16" i="3" a="1"/>
  <c r="R15" i="3" a="1"/>
  <c r="V14" i="3" a="1"/>
  <c r="C14" i="3" a="1"/>
  <c r="Y15" i="3" a="1"/>
  <c r="O13" i="3" a="1"/>
  <c r="Q12" i="3" a="1"/>
  <c r="F12" i="3" a="1"/>
  <c r="Y11" i="3" a="1"/>
  <c r="N11" i="3" a="1"/>
  <c r="C11" i="3" a="1"/>
  <c r="AA16" i="3" a="1"/>
  <c r="T14" i="3" a="1"/>
  <c r="X11" i="3" a="1"/>
  <c r="P17" i="3" a="1"/>
  <c r="P15" i="3" a="1"/>
  <c r="R11" i="3" a="1"/>
  <c r="F11" i="3" a="1"/>
  <c r="Q18" i="3" a="1"/>
  <c r="V16" i="3" a="1"/>
  <c r="Z15" i="3" a="1"/>
  <c r="P14" i="3" a="1"/>
  <c r="V13" i="3" a="1"/>
  <c r="P13" i="3" a="1"/>
  <c r="W12" i="3" a="1"/>
  <c r="L12" i="3" a="1"/>
  <c r="Z11" i="3" a="1"/>
  <c r="T11" i="3" a="1"/>
  <c r="I11" i="3" a="1"/>
  <c r="K15" i="3" a="1"/>
  <c r="O14" i="3" a="1"/>
  <c r="C13" i="3" a="1"/>
  <c r="AA14" i="3" a="1"/>
  <c r="P12" i="3" a="1"/>
  <c r="M11" i="3" a="1"/>
  <c r="E18" i="3" a="1"/>
  <c r="L16" i="3" a="1"/>
  <c r="Z13" i="3" a="1"/>
  <c r="O12" i="3" a="1"/>
  <c r="G11" i="3" a="1"/>
  <c r="G18" i="3" a="1"/>
  <c r="Y17" i="3" a="1"/>
  <c r="K17" i="3" a="1"/>
  <c r="C17" i="3" a="1"/>
  <c r="F16" i="3" a="1"/>
  <c r="J12" i="3" a="1"/>
  <c r="E16" i="3" a="1"/>
  <c r="G14" i="3" a="1"/>
  <c r="U12" i="3" a="1"/>
  <c r="Q11" i="3" a="1"/>
  <c r="N65" i="3" a="1"/>
  <c r="Z18" i="3" a="1"/>
  <c r="P18" i="3" a="1"/>
  <c r="Q17" i="3" a="1"/>
  <c r="J17" i="3" a="1"/>
  <c r="U16" i="3" a="1"/>
  <c r="M16" i="3" a="1"/>
  <c r="Q15" i="3" a="1"/>
  <c r="J15" i="3" a="1"/>
  <c r="U14" i="3" a="1"/>
  <c r="H14" i="3" a="1"/>
  <c r="AA13" i="3" a="1"/>
  <c r="U13" i="3" a="1"/>
  <c r="H13" i="3" a="1"/>
  <c r="V12" i="3" a="1"/>
  <c r="K12" i="3" a="1"/>
  <c r="E12" i="3" a="1"/>
  <c r="S11" i="3" a="1"/>
  <c r="H11" i="3" a="1"/>
  <c r="J65" i="3" a="1"/>
  <c r="O18" i="3" a="1"/>
  <c r="F18" i="3" a="1"/>
  <c r="W17" i="3" a="1"/>
  <c r="T16" i="3" a="1"/>
  <c r="T13" i="3" a="1"/>
  <c r="M14" i="3" a="1"/>
  <c r="G13" i="3" a="1"/>
  <c r="H65" i="3" a="1"/>
  <c r="V18" i="3" a="1"/>
  <c r="V17" i="3" a="1"/>
  <c r="O17" i="3" a="1"/>
  <c r="Z16" i="3" a="1"/>
  <c r="R16" i="3" a="1"/>
  <c r="V15" i="3" a="1"/>
  <c r="O15" i="3" a="1"/>
  <c r="Z14" i="3" a="1"/>
  <c r="Y13" i="3" a="1"/>
  <c r="Z12" i="3" a="1"/>
  <c r="T12" i="3" a="1"/>
  <c r="I12" i="3" a="1"/>
  <c r="W11" i="3" a="1"/>
  <c r="L11" i="3" a="1"/>
  <c r="L18" i="3" a="1"/>
  <c r="C18" i="3" a="1"/>
  <c r="G17" i="3" a="1"/>
  <c r="Y16" i="3" a="1"/>
  <c r="K16" i="3" a="1"/>
  <c r="C16" i="3" a="1"/>
  <c r="G15" i="3" a="1"/>
  <c r="Y14" i="3" a="1"/>
  <c r="R14" i="3" a="1"/>
  <c r="L14" i="3" a="1"/>
  <c r="F14" i="3" a="1"/>
  <c r="R13" i="3" a="1"/>
  <c r="L13" i="3" a="1"/>
  <c r="F13" i="3" a="1"/>
  <c r="Y12" i="3" a="1"/>
  <c r="N12" i="3" a="1"/>
  <c r="C12" i="3" a="1"/>
  <c r="Q16" i="3" a="1"/>
  <c r="U18" i="3" a="1"/>
  <c r="E13" i="3" a="1"/>
  <c r="E14" i="3" a="1"/>
  <c r="D65" i="3" a="1"/>
  <c r="J16" i="3" a="1"/>
  <c r="K11" i="3" a="1"/>
  <c r="E11" i="3" a="1"/>
  <c r="U15" i="3" a="1"/>
  <c r="M15" i="3" a="1"/>
  <c r="S12" i="3" a="1"/>
  <c r="U17" i="3" a="1"/>
  <c r="M17" i="3" a="1"/>
  <c r="V11" i="3" a="1"/>
  <c r="H12" i="3" a="1"/>
  <c r="F65" i="2" a="1"/>
  <c r="P65" i="2" a="1"/>
  <c r="L65" i="2" a="1"/>
  <c r="R65" i="2" a="1"/>
  <c r="H65" i="2" a="1"/>
  <c r="J65" i="2" a="1"/>
  <c r="N65" i="2" a="1"/>
  <c r="D65" i="2" a="1"/>
  <c r="P11" i="2" a="1"/>
  <c r="U11" i="2" a="1"/>
  <c r="Z11" i="2" a="1"/>
  <c r="S12" i="2" a="1"/>
  <c r="X12" i="2" a="1"/>
  <c r="Q13" i="2" a="1"/>
  <c r="V13" i="2" a="1"/>
  <c r="AA13" i="2" a="1"/>
  <c r="T14" i="2" a="1"/>
  <c r="Y14" i="2" a="1"/>
  <c r="R15" i="2" a="1"/>
  <c r="W15" i="2" a="1"/>
  <c r="P16" i="2" a="1"/>
  <c r="U16" i="2" a="1"/>
  <c r="Z16" i="2" a="1"/>
  <c r="S17" i="2" a="1"/>
  <c r="X17" i="2" a="1"/>
  <c r="Q18" i="2" a="1"/>
  <c r="V18" i="2" a="1"/>
  <c r="AA18" i="2" a="1"/>
  <c r="Y17" i="2" a="1"/>
  <c r="W18" i="2" a="1"/>
  <c r="W11" i="2" a="1"/>
  <c r="U12" i="2" a="1"/>
  <c r="S13" i="2" a="1"/>
  <c r="V14" i="2" a="1"/>
  <c r="T15" i="2" a="1"/>
  <c r="R16" i="2" a="1"/>
  <c r="P17" i="2" a="1"/>
  <c r="Z17" i="2" a="1"/>
  <c r="X18" i="2" a="1"/>
  <c r="X11" i="2" a="1"/>
  <c r="V12" i="2" a="1"/>
  <c r="T13" i="2" a="1"/>
  <c r="R14" i="2" a="1"/>
  <c r="P15" i="2" a="1"/>
  <c r="Z15" i="2" a="1"/>
  <c r="X16" i="2" a="1"/>
  <c r="V17" i="2" a="1"/>
  <c r="T18" i="2" a="1"/>
  <c r="Q15" i="2" a="1"/>
  <c r="T16" i="2" a="1"/>
  <c r="P18" i="2" a="1"/>
  <c r="T12" i="2" a="1"/>
  <c r="Y12" i="2" a="1"/>
  <c r="R13" i="2" a="1"/>
  <c r="W13" i="2" a="1"/>
  <c r="P14" i="2" a="1"/>
  <c r="U14" i="2" a="1"/>
  <c r="Z14" i="2" a="1"/>
  <c r="S15" i="2" a="1"/>
  <c r="X15" i="2" a="1"/>
  <c r="Q16" i="2" a="1"/>
  <c r="V16" i="2" a="1"/>
  <c r="AA16" i="2" a="1"/>
  <c r="T17" i="2" a="1"/>
  <c r="R18" i="2" a="1"/>
  <c r="P12" i="2" a="1"/>
  <c r="Z12" i="2" a="1"/>
  <c r="X13" i="2" a="1"/>
  <c r="Q14" i="2" a="1"/>
  <c r="AA14" i="2" a="1"/>
  <c r="Y15" i="2" a="1"/>
  <c r="W16" i="2" a="1"/>
  <c r="U17" i="2" a="1"/>
  <c r="S18" i="2" a="1"/>
  <c r="Q12" i="2" a="1"/>
  <c r="AA12" i="2" a="1"/>
  <c r="Y13" i="2" a="1"/>
  <c r="W14" i="2" a="1"/>
  <c r="U15" i="2" a="1"/>
  <c r="S16" i="2" a="1"/>
  <c r="Q17" i="2" a="1"/>
  <c r="AA17" i="2" a="1"/>
  <c r="Y18" i="2" a="1"/>
  <c r="V15" i="2" a="1"/>
  <c r="Y16" i="2" a="1"/>
  <c r="U18" i="2" a="1"/>
  <c r="Q11" i="2" a="1"/>
  <c r="V11" i="2" a="1"/>
  <c r="AA11" i="2" a="1"/>
  <c r="R17" i="2" a="1"/>
  <c r="Z18" i="2" a="1"/>
  <c r="R11" i="2" a="1"/>
  <c r="S11" i="2" a="1"/>
  <c r="T11" i="2" a="1"/>
  <c r="Y11" i="2" a="1"/>
  <c r="R12" i="2" a="1"/>
  <c r="W12" i="2" a="1"/>
  <c r="P13" i="2" a="1"/>
  <c r="U13" i="2" a="1"/>
  <c r="Z13" i="2" a="1"/>
  <c r="S14" i="2" a="1"/>
  <c r="X14" i="2" a="1"/>
  <c r="AA15" i="2" a="1"/>
  <c r="W17" i="2" a="1"/>
  <c r="E11" i="2" a="1"/>
  <c r="J11" i="2" a="1"/>
  <c r="O11" i="2" a="1"/>
  <c r="I12" i="2" a="1"/>
  <c r="N12" i="2" a="1"/>
  <c r="H13" i="2" a="1"/>
  <c r="M13" i="2" a="1"/>
  <c r="G14" i="2" a="1"/>
  <c r="L14" i="2" a="1"/>
  <c r="F15" i="2" a="1"/>
  <c r="K15" i="2" a="1"/>
  <c r="E16" i="2" a="1"/>
  <c r="J16" i="2" a="1"/>
  <c r="O16" i="2" a="1"/>
  <c r="I17" i="2" a="1"/>
  <c r="N17" i="2" a="1"/>
  <c r="H18" i="2" a="1"/>
  <c r="M18" i="2" a="1"/>
  <c r="K12" i="2" a="1"/>
  <c r="J13" i="2" a="1"/>
  <c r="H15" i="2" a="1"/>
  <c r="L16" i="2" a="1"/>
  <c r="E18" i="2" a="1"/>
  <c r="L12" i="2" a="1"/>
  <c r="K13" i="2" a="1"/>
  <c r="O14" i="2" a="1"/>
  <c r="H16" i="2" a="1"/>
  <c r="L17" i="2" a="1"/>
  <c r="I13" i="2" a="1"/>
  <c r="E17" i="2" a="1"/>
  <c r="I18" i="2" a="1"/>
  <c r="F12" i="2" a="1"/>
  <c r="O13" i="2" a="1"/>
  <c r="N14" i="2" a="1"/>
  <c r="G16" i="2" a="1"/>
  <c r="K17" i="2" a="1"/>
  <c r="O18" i="2" a="1"/>
  <c r="G12" i="2" a="1"/>
  <c r="E14" i="2" a="1"/>
  <c r="I15" i="2" a="1"/>
  <c r="M16" i="2" a="1"/>
  <c r="F18" i="2" a="1"/>
  <c r="F11" i="2" a="1"/>
  <c r="K11" i="2" a="1"/>
  <c r="E12" i="2" a="1"/>
  <c r="J12" i="2" a="1"/>
  <c r="O12" i="2" a="1"/>
  <c r="N13" i="2" a="1"/>
  <c r="H14" i="2" a="1"/>
  <c r="M14" i="2" a="1"/>
  <c r="G15" i="2" a="1"/>
  <c r="L15" i="2" a="1"/>
  <c r="F16" i="2" a="1"/>
  <c r="K16" i="2" a="1"/>
  <c r="J17" i="2" a="1"/>
  <c r="O17" i="2" a="1"/>
  <c r="N18" i="2" a="1"/>
  <c r="L11" i="2" a="1"/>
  <c r="E13" i="2" a="1"/>
  <c r="I14" i="2" a="1"/>
  <c r="M15" i="2" a="1"/>
  <c r="F17" i="2" a="1"/>
  <c r="J18" i="2" a="1"/>
  <c r="M11" i="2" a="1"/>
  <c r="F13" i="2" a="1"/>
  <c r="J14" i="2" a="1"/>
  <c r="N15" i="2" a="1"/>
  <c r="G17" i="2" a="1"/>
  <c r="K18" i="2" a="1"/>
  <c r="G11" i="2" a="1"/>
  <c r="H11" i="2" a="1"/>
  <c r="I11" i="2" a="1"/>
  <c r="N11" i="2" a="1"/>
  <c r="F14" i="2" a="1"/>
  <c r="I16" i="2" a="1"/>
  <c r="L18" i="2" a="1"/>
  <c r="H12" i="2" a="1"/>
  <c r="K14" i="2" a="1"/>
  <c r="N16" i="2" a="1"/>
  <c r="M12" i="2" a="1"/>
  <c r="H17" i="2" a="1"/>
  <c r="G13" i="2" a="1"/>
  <c r="M17" i="2" a="1"/>
  <c r="O15" i="2" a="1"/>
  <c r="G18" i="2" a="1"/>
  <c r="E15" i="2" a="1"/>
  <c r="J15" i="2" a="1"/>
  <c r="L13" i="2" a="1"/>
  <c r="D12" i="2" a="1"/>
  <c r="D18" i="2" a="1"/>
  <c r="D17" i="2" a="1"/>
  <c r="D13" i="2" a="1"/>
  <c r="D14" i="2" a="1"/>
  <c r="D15" i="2" a="1"/>
  <c r="D16" i="2" a="1"/>
  <c r="D11" i="2" a="1"/>
  <c r="C11" i="2" a="1"/>
  <c r="C12" i="2" a="1"/>
  <c r="C17" i="2" a="1"/>
  <c r="C18" i="2" a="1"/>
  <c r="C13" i="2" a="1"/>
  <c r="C14" i="2" a="1"/>
  <c r="C15" i="2" a="1"/>
  <c r="C16" i="2" a="1"/>
  <c r="C14" i="9" l="1"/>
  <c r="C41" i="9" s="1"/>
  <c r="C69" i="9" s="1"/>
  <c r="V11" i="9"/>
  <c r="E12" i="9"/>
  <c r="X14" i="9"/>
  <c r="Y12" i="9"/>
  <c r="U13" i="9"/>
  <c r="P11" i="9"/>
  <c r="Q14" i="9"/>
  <c r="H13" i="9"/>
  <c r="T15" i="9"/>
  <c r="U11" i="9"/>
  <c r="O23" i="9"/>
  <c r="D11" i="9"/>
  <c r="O13" i="9"/>
  <c r="AA15" i="9"/>
  <c r="H19" i="9"/>
  <c r="Q26" i="9"/>
  <c r="O11" i="9"/>
  <c r="C12" i="9"/>
  <c r="C39" i="9" s="1"/>
  <c r="C67" i="9" s="1"/>
  <c r="Q12" i="9"/>
  <c r="X12" i="9"/>
  <c r="T13" i="9"/>
  <c r="P14" i="9"/>
  <c r="W14" i="9"/>
  <c r="K15" i="9"/>
  <c r="S15" i="9"/>
  <c r="G16" i="9"/>
  <c r="N16" i="9"/>
  <c r="D17" i="9"/>
  <c r="AA18" i="9"/>
  <c r="T19" i="9"/>
  <c r="L20" i="9"/>
  <c r="H21" i="9"/>
  <c r="R22" i="9"/>
  <c r="F24" i="9"/>
  <c r="S25" i="9"/>
  <c r="E27" i="9"/>
  <c r="E28" i="9"/>
  <c r="C29" i="9"/>
  <c r="C56" i="9" s="1"/>
  <c r="C84" i="9" s="1"/>
  <c r="V32" i="9"/>
  <c r="C11" i="9"/>
  <c r="C38" i="9" s="1"/>
  <c r="C66" i="9" s="1"/>
  <c r="I11" i="9"/>
  <c r="K12" i="9"/>
  <c r="R12" i="9"/>
  <c r="F13" i="9"/>
  <c r="N13" i="9"/>
  <c r="AA13" i="9"/>
  <c r="I14" i="9"/>
  <c r="E15" i="9"/>
  <c r="Z15" i="9"/>
  <c r="H16" i="9"/>
  <c r="V16" i="9"/>
  <c r="E17" i="9"/>
  <c r="N17" i="9"/>
  <c r="Y17" i="9"/>
  <c r="L18" i="9"/>
  <c r="P20" i="9"/>
  <c r="I21" i="9"/>
  <c r="Z21" i="9"/>
  <c r="AA24" i="9"/>
  <c r="T25" i="9"/>
  <c r="L26" i="9"/>
  <c r="F28" i="9"/>
  <c r="O34" i="9"/>
  <c r="P34" i="9"/>
  <c r="K30" i="9"/>
  <c r="D19" i="9"/>
  <c r="S12" i="9"/>
  <c r="F15" i="9"/>
  <c r="O17" i="9"/>
  <c r="S23" i="9"/>
  <c r="J29" i="9"/>
  <c r="C16" i="9"/>
  <c r="C43" i="9" s="1"/>
  <c r="C71" i="9" s="1"/>
  <c r="Q18" i="9"/>
  <c r="I19" i="9"/>
  <c r="Z19" i="9"/>
  <c r="AA22" i="9"/>
  <c r="T23" i="9"/>
  <c r="L24" i="9"/>
  <c r="H25" i="9"/>
  <c r="R26" i="9"/>
  <c r="Z34" i="9"/>
  <c r="P18" i="9"/>
  <c r="G28" i="9"/>
  <c r="W11" i="9"/>
  <c r="F17" i="9"/>
  <c r="R20" i="9"/>
  <c r="L28" i="9"/>
  <c r="F12" i="9"/>
  <c r="V13" i="9"/>
  <c r="Q16" i="9"/>
  <c r="E11" i="9"/>
  <c r="Y11" i="9"/>
  <c r="O15" i="9"/>
  <c r="Y16" i="9"/>
  <c r="W20" i="9"/>
  <c r="Z25" i="9"/>
  <c r="P29" i="9"/>
  <c r="R33" i="9"/>
  <c r="N15" i="9"/>
  <c r="F22" i="9"/>
  <c r="K27" i="9"/>
  <c r="Y14" i="9"/>
  <c r="P17" i="9"/>
  <c r="L14" i="9"/>
  <c r="E22" i="9"/>
  <c r="G33" i="9"/>
  <c r="R14" i="9"/>
  <c r="Z17" i="9"/>
  <c r="Q34" i="9"/>
  <c r="I13" i="9"/>
  <c r="H15" i="9"/>
  <c r="E18" i="9"/>
  <c r="R11" i="9"/>
  <c r="S14" i="9"/>
  <c r="S17" i="9"/>
  <c r="R24" i="9"/>
  <c r="F26" i="9"/>
  <c r="X26" i="9"/>
  <c r="W27" i="9"/>
  <c r="W16" i="9"/>
  <c r="W22" i="9"/>
  <c r="P31" i="9"/>
  <c r="L12" i="9"/>
  <c r="I16" i="9"/>
  <c r="D25" i="9"/>
  <c r="H33" i="9"/>
  <c r="Q11" i="9"/>
  <c r="AA12" i="9"/>
  <c r="H17" i="9"/>
  <c r="K11" i="9"/>
  <c r="T12" i="9"/>
  <c r="W13" i="9"/>
  <c r="K16" i="9"/>
  <c r="R18" i="9"/>
  <c r="O21" i="9"/>
  <c r="P24" i="9"/>
  <c r="V26" i="9"/>
  <c r="Z31" i="9"/>
  <c r="G12" i="9"/>
  <c r="J13" i="9"/>
  <c r="F14" i="9"/>
  <c r="I15" i="9"/>
  <c r="V15" i="9"/>
  <c r="I17" i="9"/>
  <c r="S21" i="9"/>
  <c r="Q24" i="9"/>
  <c r="R27" i="9"/>
  <c r="Z11" i="9"/>
  <c r="V12" i="9"/>
  <c r="Q13" i="9"/>
  <c r="C15" i="9"/>
  <c r="C42" i="9" s="1"/>
  <c r="C70" i="9" s="1"/>
  <c r="W15" i="9"/>
  <c r="S16" i="9"/>
  <c r="T17" i="9"/>
  <c r="V18" i="9"/>
  <c r="AA20" i="9"/>
  <c r="T21" i="9"/>
  <c r="L22" i="9"/>
  <c r="H23" i="9"/>
  <c r="N11" i="9"/>
  <c r="T11" i="9"/>
  <c r="P12" i="9"/>
  <c r="W12" i="9"/>
  <c r="K13" i="9"/>
  <c r="S13" i="9"/>
  <c r="G14" i="9"/>
  <c r="N14" i="9"/>
  <c r="J15" i="9"/>
  <c r="F16" i="9"/>
  <c r="M16" i="9"/>
  <c r="C17" i="9"/>
  <c r="C44" i="9" s="1"/>
  <c r="C72" i="9" s="1"/>
  <c r="W18" i="9"/>
  <c r="O19" i="9"/>
  <c r="P22" i="9"/>
  <c r="I23" i="9"/>
  <c r="Z23" i="9"/>
  <c r="U28" i="9"/>
  <c r="Y29" i="9"/>
  <c r="K32" i="9"/>
  <c r="D34" i="9"/>
  <c r="P16" i="9"/>
  <c r="Q20" i="9"/>
  <c r="P26" i="9"/>
  <c r="J11" i="9"/>
  <c r="K14" i="9"/>
  <c r="M12" i="9"/>
  <c r="E14" i="9"/>
  <c r="U15" i="9"/>
  <c r="C13" i="9"/>
  <c r="C40" i="9" s="1"/>
  <c r="C68" i="9" s="1"/>
  <c r="P13" i="9"/>
  <c r="R16" i="9"/>
  <c r="E20" i="9"/>
  <c r="I25" i="9"/>
  <c r="Q27" i="9"/>
  <c r="S11" i="9"/>
  <c r="N12" i="9"/>
  <c r="M14" i="9"/>
  <c r="AA14" i="9"/>
  <c r="E16" i="9"/>
  <c r="F18" i="9"/>
  <c r="F20" i="9"/>
  <c r="D23" i="9"/>
  <c r="E26" i="9"/>
  <c r="U30" i="9"/>
  <c r="S33" i="9"/>
  <c r="F11" i="9"/>
  <c r="H12" i="9"/>
  <c r="D13" i="9"/>
  <c r="Y13" i="9"/>
  <c r="T14" i="9"/>
  <c r="P15" i="9"/>
  <c r="L16" i="9"/>
  <c r="AA16" i="9"/>
  <c r="H11" i="9"/>
  <c r="AA11" i="9"/>
  <c r="I12" i="9"/>
  <c r="E13" i="9"/>
  <c r="Z13" i="9"/>
  <c r="H14" i="9"/>
  <c r="V14" i="9"/>
  <c r="D15" i="9"/>
  <c r="Q15" i="9"/>
  <c r="Y15" i="9"/>
  <c r="T16" i="9"/>
  <c r="K18" i="9"/>
  <c r="S19" i="9"/>
  <c r="D21" i="9"/>
  <c r="Q22" i="9"/>
  <c r="E24" i="9"/>
  <c r="W24" i="9"/>
  <c r="O25" i="9"/>
  <c r="Y27" i="9"/>
  <c r="Z28" i="9"/>
  <c r="Z29" i="9"/>
  <c r="F31" i="9"/>
  <c r="E34" i="9"/>
  <c r="C19" i="9"/>
  <c r="C46" i="9" s="1"/>
  <c r="C74" i="9" s="1"/>
  <c r="N19" i="9"/>
  <c r="Y19" i="9"/>
  <c r="K20" i="9"/>
  <c r="V20" i="9"/>
  <c r="C21" i="9"/>
  <c r="C48" i="9" s="1"/>
  <c r="C76" i="9" s="1"/>
  <c r="N21" i="9"/>
  <c r="Y21" i="9"/>
  <c r="K22" i="9"/>
  <c r="V22" i="9"/>
  <c r="C23" i="9"/>
  <c r="C50" i="9" s="1"/>
  <c r="C78" i="9" s="1"/>
  <c r="N23" i="9"/>
  <c r="Y23" i="9"/>
  <c r="K24" i="9"/>
  <c r="V24" i="9"/>
  <c r="C25" i="9"/>
  <c r="C52" i="9" s="1"/>
  <c r="C80" i="9" s="1"/>
  <c r="N25" i="9"/>
  <c r="Y25" i="9"/>
  <c r="K26" i="9"/>
  <c r="W26" i="9"/>
  <c r="D27" i="9"/>
  <c r="J27" i="9"/>
  <c r="P27" i="9"/>
  <c r="M28" i="9"/>
  <c r="T28" i="9"/>
  <c r="AA28" i="9"/>
  <c r="R29" i="9"/>
  <c r="J30" i="9"/>
  <c r="T30" i="9"/>
  <c r="E31" i="9"/>
  <c r="O31" i="9"/>
  <c r="Y31" i="9"/>
  <c r="J32" i="9"/>
  <c r="U32" i="9"/>
  <c r="AA34" i="9"/>
  <c r="X16" i="9"/>
  <c r="J17" i="9"/>
  <c r="U17" i="9"/>
  <c r="G18" i="9"/>
  <c r="M18" i="9"/>
  <c r="X18" i="9"/>
  <c r="J19" i="9"/>
  <c r="U19" i="9"/>
  <c r="G20" i="9"/>
  <c r="M20" i="9"/>
  <c r="X20" i="9"/>
  <c r="J21" i="9"/>
  <c r="U21" i="9"/>
  <c r="G22" i="9"/>
  <c r="M22" i="9"/>
  <c r="X22" i="9"/>
  <c r="J23" i="9"/>
  <c r="U23" i="9"/>
  <c r="G24" i="9"/>
  <c r="M24" i="9"/>
  <c r="X24" i="9"/>
  <c r="J25" i="9"/>
  <c r="U25" i="9"/>
  <c r="G26" i="9"/>
  <c r="M26" i="9"/>
  <c r="L27" i="9"/>
  <c r="H28" i="9"/>
  <c r="O28" i="9"/>
  <c r="V28" i="9"/>
  <c r="K29" i="9"/>
  <c r="T29" i="9"/>
  <c r="N32" i="9"/>
  <c r="Y32" i="9"/>
  <c r="K33" i="9"/>
  <c r="AA17" i="9"/>
  <c r="H18" i="9"/>
  <c r="S18" i="9"/>
  <c r="E19" i="9"/>
  <c r="P19" i="9"/>
  <c r="AA19" i="9"/>
  <c r="H20" i="9"/>
  <c r="S20" i="9"/>
  <c r="E21" i="9"/>
  <c r="P21" i="9"/>
  <c r="AA21" i="9"/>
  <c r="H22" i="9"/>
  <c r="S22" i="9"/>
  <c r="E23" i="9"/>
  <c r="P23" i="9"/>
  <c r="AA23" i="9"/>
  <c r="H24" i="9"/>
  <c r="S24" i="9"/>
  <c r="E25" i="9"/>
  <c r="P25" i="9"/>
  <c r="AA25" i="9"/>
  <c r="H26" i="9"/>
  <c r="S26" i="9"/>
  <c r="Y26" i="9"/>
  <c r="F27" i="9"/>
  <c r="M27" i="9"/>
  <c r="Z27" i="9"/>
  <c r="W28" i="9"/>
  <c r="E29" i="9"/>
  <c r="M29" i="9"/>
  <c r="E30" i="9"/>
  <c r="O32" i="9"/>
  <c r="Z32" i="9"/>
  <c r="K17" i="9"/>
  <c r="V17" i="9"/>
  <c r="C18" i="9"/>
  <c r="C45" i="9" s="1"/>
  <c r="C73" i="9" s="1"/>
  <c r="N18" i="9"/>
  <c r="Y18" i="9"/>
  <c r="K19" i="9"/>
  <c r="V19" i="9"/>
  <c r="C20" i="9"/>
  <c r="C47" i="9" s="1"/>
  <c r="C75" i="9" s="1"/>
  <c r="N20" i="9"/>
  <c r="Y20" i="9"/>
  <c r="K21" i="9"/>
  <c r="V21" i="9"/>
  <c r="C22" i="9"/>
  <c r="C49" i="9" s="1"/>
  <c r="C77" i="9" s="1"/>
  <c r="N22" i="9"/>
  <c r="Y22" i="9"/>
  <c r="K23" i="9"/>
  <c r="V23" i="9"/>
  <c r="C24" i="9"/>
  <c r="C51" i="9" s="1"/>
  <c r="C79" i="9" s="1"/>
  <c r="N24" i="9"/>
  <c r="Y24" i="9"/>
  <c r="K25" i="9"/>
  <c r="V25" i="9"/>
  <c r="C26" i="9"/>
  <c r="C53" i="9" s="1"/>
  <c r="C81" i="9" s="1"/>
  <c r="N26" i="9"/>
  <c r="G27" i="9"/>
  <c r="T27" i="9"/>
  <c r="AA27" i="9"/>
  <c r="P28" i="9"/>
  <c r="U29" i="9"/>
  <c r="O30" i="9"/>
  <c r="Y30" i="9"/>
  <c r="J31" i="9"/>
  <c r="T31" i="9"/>
  <c r="E32" i="9"/>
  <c r="AA32" i="9"/>
  <c r="M33" i="9"/>
  <c r="X33" i="9"/>
  <c r="J34" i="9"/>
  <c r="U34" i="9"/>
  <c r="D65" i="9"/>
  <c r="Q17" i="9"/>
  <c r="W17" i="9"/>
  <c r="I18" i="9"/>
  <c r="T18" i="9"/>
  <c r="F19" i="9"/>
  <c r="Q19" i="9"/>
  <c r="W19" i="9"/>
  <c r="I20" i="9"/>
  <c r="T20" i="9"/>
  <c r="F21" i="9"/>
  <c r="Q21" i="9"/>
  <c r="W21" i="9"/>
  <c r="I22" i="9"/>
  <c r="T22" i="9"/>
  <c r="F23" i="9"/>
  <c r="Q23" i="9"/>
  <c r="W23" i="9"/>
  <c r="I24" i="9"/>
  <c r="T24" i="9"/>
  <c r="F25" i="9"/>
  <c r="Q25" i="9"/>
  <c r="W25" i="9"/>
  <c r="I26" i="9"/>
  <c r="T26" i="9"/>
  <c r="Z26" i="9"/>
  <c r="H27" i="9"/>
  <c r="N27" i="9"/>
  <c r="C28" i="9"/>
  <c r="C55" i="9" s="1"/>
  <c r="C83" i="9" s="1"/>
  <c r="J28" i="9"/>
  <c r="Q28" i="9"/>
  <c r="F29" i="9"/>
  <c r="W29" i="9"/>
  <c r="F30" i="9"/>
  <c r="P32" i="9"/>
  <c r="V34" i="9"/>
  <c r="F65" i="9"/>
  <c r="O12" i="9"/>
  <c r="L13" i="9"/>
  <c r="D14" i="9"/>
  <c r="O14" i="9"/>
  <c r="Z14" i="9"/>
  <c r="L15" i="9"/>
  <c r="R15" i="9"/>
  <c r="D16" i="9"/>
  <c r="O16" i="9"/>
  <c r="Z16" i="9"/>
  <c r="L17" i="9"/>
  <c r="R17" i="9"/>
  <c r="D18" i="9"/>
  <c r="O18" i="9"/>
  <c r="Z18" i="9"/>
  <c r="L19" i="9"/>
  <c r="R19" i="9"/>
  <c r="D20" i="9"/>
  <c r="O20" i="9"/>
  <c r="Z20" i="9"/>
  <c r="L21" i="9"/>
  <c r="R21" i="9"/>
  <c r="D22" i="9"/>
  <c r="O22" i="9"/>
  <c r="Z22" i="9"/>
  <c r="L23" i="9"/>
  <c r="R23" i="9"/>
  <c r="D24" i="9"/>
  <c r="O24" i="9"/>
  <c r="Z24" i="9"/>
  <c r="L25" i="9"/>
  <c r="R25" i="9"/>
  <c r="D26" i="9"/>
  <c r="O26" i="9"/>
  <c r="AA26" i="9"/>
  <c r="U27" i="9"/>
  <c r="R28" i="9"/>
  <c r="Y28" i="9"/>
  <c r="G29" i="9"/>
  <c r="O29" i="9"/>
  <c r="G30" i="9"/>
  <c r="P30" i="9"/>
  <c r="Z30" i="9"/>
  <c r="K31" i="9"/>
  <c r="U31" i="9"/>
  <c r="F32" i="9"/>
  <c r="Q32" i="9"/>
  <c r="C33" i="9"/>
  <c r="C60" i="9" s="1"/>
  <c r="C88" i="9" s="1"/>
  <c r="N33" i="9"/>
  <c r="Y33" i="9"/>
  <c r="K34" i="9"/>
  <c r="L11" i="9"/>
  <c r="D12" i="9"/>
  <c r="Z12" i="9"/>
  <c r="R13" i="9"/>
  <c r="G11" i="9"/>
  <c r="M11" i="9"/>
  <c r="X11" i="9"/>
  <c r="J12" i="9"/>
  <c r="U12" i="9"/>
  <c r="G13" i="9"/>
  <c r="M13" i="9"/>
  <c r="X13" i="9"/>
  <c r="J14" i="9"/>
  <c r="U14" i="9"/>
  <c r="G15" i="9"/>
  <c r="M15" i="9"/>
  <c r="X15" i="9"/>
  <c r="J16" i="9"/>
  <c r="U16" i="9"/>
  <c r="G17" i="9"/>
  <c r="M17" i="9"/>
  <c r="X17" i="9"/>
  <c r="J18" i="9"/>
  <c r="U18" i="9"/>
  <c r="G19" i="9"/>
  <c r="M19" i="9"/>
  <c r="X19" i="9"/>
  <c r="J20" i="9"/>
  <c r="U20" i="9"/>
  <c r="G21" i="9"/>
  <c r="M21" i="9"/>
  <c r="X21" i="9"/>
  <c r="J22" i="9"/>
  <c r="U22" i="9"/>
  <c r="G23" i="9"/>
  <c r="M23" i="9"/>
  <c r="X23" i="9"/>
  <c r="J24" i="9"/>
  <c r="U24" i="9"/>
  <c r="G25" i="9"/>
  <c r="M25" i="9"/>
  <c r="X25" i="9"/>
  <c r="J26" i="9"/>
  <c r="U26" i="9"/>
  <c r="C27" i="9"/>
  <c r="C54" i="9" s="1"/>
  <c r="C82" i="9" s="1"/>
  <c r="I27" i="9"/>
  <c r="O27" i="9"/>
  <c r="V27" i="9"/>
  <c r="K28" i="9"/>
  <c r="H29" i="9"/>
  <c r="Q33" i="9"/>
  <c r="C34" i="9"/>
  <c r="C61" i="9" s="1"/>
  <c r="C89" i="9" s="1"/>
  <c r="N34" i="9"/>
  <c r="Y34" i="9"/>
  <c r="L32" i="9"/>
  <c r="W32" i="9"/>
  <c r="I33" i="9"/>
  <c r="T33" i="9"/>
  <c r="F34" i="9"/>
  <c r="L34" i="9"/>
  <c r="W34" i="9"/>
  <c r="L29" i="9"/>
  <c r="Q29" i="9"/>
  <c r="V29" i="9"/>
  <c r="AA29" i="9"/>
  <c r="L30" i="9"/>
  <c r="Q30" i="9"/>
  <c r="V30" i="9"/>
  <c r="AA30" i="9"/>
  <c r="G31" i="9"/>
  <c r="L31" i="9"/>
  <c r="Q31" i="9"/>
  <c r="V31" i="9"/>
  <c r="AA31" i="9"/>
  <c r="G32" i="9"/>
  <c r="R32" i="9"/>
  <c r="D33" i="9"/>
  <c r="O33" i="9"/>
  <c r="Z33" i="9"/>
  <c r="G34" i="9"/>
  <c r="R34" i="9"/>
  <c r="M32" i="9"/>
  <c r="X32" i="9"/>
  <c r="J33" i="9"/>
  <c r="U33" i="9"/>
  <c r="AA33" i="9"/>
  <c r="M34" i="9"/>
  <c r="X34" i="9"/>
  <c r="C30" i="9"/>
  <c r="C57" i="9" s="1"/>
  <c r="C85" i="9" s="1"/>
  <c r="H30" i="9"/>
  <c r="M30" i="9"/>
  <c r="R30" i="9"/>
  <c r="W30" i="9"/>
  <c r="C31" i="9"/>
  <c r="C58" i="9" s="1"/>
  <c r="C86" i="9" s="1"/>
  <c r="H31" i="9"/>
  <c r="M31" i="9"/>
  <c r="R31" i="9"/>
  <c r="W31" i="9"/>
  <c r="C32" i="9"/>
  <c r="C59" i="9" s="1"/>
  <c r="C87" i="9" s="1"/>
  <c r="H32" i="9"/>
  <c r="S32" i="9"/>
  <c r="E33" i="9"/>
  <c r="P33" i="9"/>
  <c r="V33" i="9"/>
  <c r="H34" i="9"/>
  <c r="S34" i="9"/>
  <c r="S27" i="9"/>
  <c r="X27" i="9"/>
  <c r="D28" i="9"/>
  <c r="I28" i="9"/>
  <c r="N28" i="9"/>
  <c r="S28" i="9"/>
  <c r="X28" i="9"/>
  <c r="D29" i="9"/>
  <c r="I29" i="9"/>
  <c r="N29" i="9"/>
  <c r="S29" i="9"/>
  <c r="X29" i="9"/>
  <c r="D30" i="9"/>
  <c r="I30" i="9"/>
  <c r="N30" i="9"/>
  <c r="S30" i="9"/>
  <c r="X30" i="9"/>
  <c r="D31" i="9"/>
  <c r="I31" i="9"/>
  <c r="N31" i="9"/>
  <c r="S31" i="9"/>
  <c r="X31" i="9"/>
  <c r="D32" i="9"/>
  <c r="I32" i="9"/>
  <c r="T32" i="9"/>
  <c r="F33" i="9"/>
  <c r="L33" i="9"/>
  <c r="W33" i="9"/>
  <c r="I34" i="9"/>
  <c r="T34" i="9"/>
  <c r="H65" i="9"/>
  <c r="L65" i="9"/>
  <c r="N65" i="9"/>
  <c r="J65" i="9"/>
  <c r="W16" i="8"/>
  <c r="N25" i="8"/>
  <c r="Q13" i="8"/>
  <c r="O25" i="8"/>
  <c r="Z11" i="8"/>
  <c r="W12" i="8"/>
  <c r="L14" i="8"/>
  <c r="K15" i="8"/>
  <c r="X16" i="8"/>
  <c r="W17" i="8"/>
  <c r="L19" i="8"/>
  <c r="M20" i="8"/>
  <c r="AA25" i="8"/>
  <c r="AA34" i="8"/>
  <c r="F16" i="8"/>
  <c r="P20" i="8"/>
  <c r="F26" i="8"/>
  <c r="W18" i="8"/>
  <c r="K24" i="8"/>
  <c r="L30" i="8"/>
  <c r="U32" i="8"/>
  <c r="K19" i="8"/>
  <c r="W31" i="8"/>
  <c r="R12" i="8"/>
  <c r="R17" i="8"/>
  <c r="R13" i="8"/>
  <c r="K14" i="8"/>
  <c r="D16" i="8"/>
  <c r="E22" i="8"/>
  <c r="R18" i="8"/>
  <c r="L13" i="8"/>
  <c r="L18" i="8"/>
  <c r="T29" i="8"/>
  <c r="Y11" i="8"/>
  <c r="F20" i="8"/>
  <c r="I11" i="8"/>
  <c r="D17" i="8"/>
  <c r="Q16" i="8"/>
  <c r="S21" i="8"/>
  <c r="F15" i="8"/>
  <c r="X23" i="8"/>
  <c r="Q19" i="8"/>
  <c r="X15" i="8"/>
  <c r="H11" i="8"/>
  <c r="Q18" i="8"/>
  <c r="Y27" i="8"/>
  <c r="E12" i="8"/>
  <c r="Q14" i="8"/>
  <c r="F12" i="8"/>
  <c r="X12" i="8"/>
  <c r="W13" i="8"/>
  <c r="L15" i="8"/>
  <c r="K16" i="8"/>
  <c r="X17" i="8"/>
  <c r="R22" i="8"/>
  <c r="N11" i="8"/>
  <c r="D13" i="8"/>
  <c r="R14" i="8"/>
  <c r="Q15" i="8"/>
  <c r="F17" i="8"/>
  <c r="D18" i="8"/>
  <c r="R19" i="8"/>
  <c r="U22" i="8"/>
  <c r="M30" i="8"/>
  <c r="L33" i="8"/>
  <c r="K12" i="8"/>
  <c r="X13" i="8"/>
  <c r="W14" i="8"/>
  <c r="L16" i="8"/>
  <c r="K17" i="8"/>
  <c r="X18" i="8"/>
  <c r="W19" i="8"/>
  <c r="C21" i="8"/>
  <c r="C48" i="8" s="1"/>
  <c r="C76" i="8" s="1"/>
  <c r="R28" i="8"/>
  <c r="S11" i="8"/>
  <c r="F13" i="8"/>
  <c r="D14" i="8"/>
  <c r="R15" i="8"/>
  <c r="F18" i="8"/>
  <c r="D19" i="8"/>
  <c r="D21" i="8"/>
  <c r="H23" i="8"/>
  <c r="U26" i="8"/>
  <c r="L12" i="8"/>
  <c r="K13" i="8"/>
  <c r="X14" i="8"/>
  <c r="W15" i="8"/>
  <c r="L17" i="8"/>
  <c r="K18" i="8"/>
  <c r="X19" i="8"/>
  <c r="O21" i="8"/>
  <c r="H27" i="8"/>
  <c r="E34" i="8"/>
  <c r="C11" i="8"/>
  <c r="C38" i="8" s="1"/>
  <c r="C66" i="8" s="1"/>
  <c r="T11" i="8"/>
  <c r="Q12" i="8"/>
  <c r="F14" i="8"/>
  <c r="D15" i="8"/>
  <c r="R16" i="8"/>
  <c r="Q17" i="8"/>
  <c r="F19" i="8"/>
  <c r="D20" i="8"/>
  <c r="L27" i="8"/>
  <c r="U31" i="8"/>
  <c r="J34" i="8"/>
  <c r="O11" i="8"/>
  <c r="M23" i="8"/>
  <c r="M27" i="8"/>
  <c r="G31" i="8"/>
  <c r="Z12" i="8"/>
  <c r="M14" i="8"/>
  <c r="M15" i="8"/>
  <c r="G16" i="8"/>
  <c r="M17" i="8"/>
  <c r="Z17" i="8"/>
  <c r="G18" i="8"/>
  <c r="M18" i="8"/>
  <c r="S18" i="8"/>
  <c r="Z18" i="8"/>
  <c r="G19" i="8"/>
  <c r="M19" i="8"/>
  <c r="S19" i="8"/>
  <c r="Z19" i="8"/>
  <c r="G20" i="8"/>
  <c r="R20" i="8"/>
  <c r="H21" i="8"/>
  <c r="Z23" i="8"/>
  <c r="P24" i="8"/>
  <c r="D25" i="8"/>
  <c r="H26" i="8"/>
  <c r="Y26" i="8"/>
  <c r="F28" i="8"/>
  <c r="L29" i="8"/>
  <c r="Z29" i="8"/>
  <c r="H31" i="8"/>
  <c r="E32" i="8"/>
  <c r="L34" i="8"/>
  <c r="G12" i="8"/>
  <c r="Q20" i="8"/>
  <c r="Y23" i="8"/>
  <c r="K29" i="8"/>
  <c r="K34" i="8"/>
  <c r="J11" i="8"/>
  <c r="S12" i="8"/>
  <c r="G14" i="8"/>
  <c r="Z14" i="8"/>
  <c r="M16" i="8"/>
  <c r="V11" i="8"/>
  <c r="H12" i="8"/>
  <c r="H20" i="8"/>
  <c r="U20" i="8"/>
  <c r="X21" i="8"/>
  <c r="K22" i="8"/>
  <c r="N23" i="8"/>
  <c r="T25" i="8"/>
  <c r="L26" i="8"/>
  <c r="Z26" i="8"/>
  <c r="R27" i="8"/>
  <c r="E30" i="8"/>
  <c r="R30" i="8"/>
  <c r="M31" i="8"/>
  <c r="T33" i="8"/>
  <c r="Q34" i="8"/>
  <c r="J22" i="8"/>
  <c r="G26" i="8"/>
  <c r="Q30" i="8"/>
  <c r="M12" i="8"/>
  <c r="G13" i="8"/>
  <c r="S14" i="8"/>
  <c r="S15" i="8"/>
  <c r="Z15" i="8"/>
  <c r="S17" i="8"/>
  <c r="N13" i="8"/>
  <c r="N14" i="8"/>
  <c r="AA14" i="8"/>
  <c r="N15" i="8"/>
  <c r="AA15" i="8"/>
  <c r="N16" i="8"/>
  <c r="AA16" i="8"/>
  <c r="H17" i="8"/>
  <c r="N17" i="8"/>
  <c r="AA17" i="8"/>
  <c r="H18" i="8"/>
  <c r="N18" i="8"/>
  <c r="U18" i="8"/>
  <c r="AA18" i="8"/>
  <c r="H19" i="8"/>
  <c r="N19" i="8"/>
  <c r="U19" i="8"/>
  <c r="AA19" i="8"/>
  <c r="I20" i="8"/>
  <c r="O23" i="8"/>
  <c r="E24" i="8"/>
  <c r="R24" i="8"/>
  <c r="H25" i="8"/>
  <c r="U25" i="8"/>
  <c r="AA26" i="8"/>
  <c r="C33" i="8"/>
  <c r="C60" i="8" s="1"/>
  <c r="C88" i="8" s="1"/>
  <c r="U33" i="8"/>
  <c r="U11" i="8"/>
  <c r="C25" i="8"/>
  <c r="C52" i="8" s="1"/>
  <c r="C80" i="8" s="1"/>
  <c r="Y29" i="8"/>
  <c r="AA11" i="8"/>
  <c r="M13" i="8"/>
  <c r="G15" i="8"/>
  <c r="S16" i="8"/>
  <c r="E11" i="8"/>
  <c r="Q11" i="8"/>
  <c r="H13" i="8"/>
  <c r="H14" i="8"/>
  <c r="U14" i="8"/>
  <c r="H15" i="8"/>
  <c r="U15" i="8"/>
  <c r="H16" i="8"/>
  <c r="U16" i="8"/>
  <c r="U17" i="8"/>
  <c r="L11" i="8"/>
  <c r="W11" i="8"/>
  <c r="I12" i="8"/>
  <c r="K20" i="8"/>
  <c r="M21" i="8"/>
  <c r="Y21" i="8"/>
  <c r="C23" i="8"/>
  <c r="C50" i="8" s="1"/>
  <c r="C78" i="8" s="1"/>
  <c r="U24" i="8"/>
  <c r="Y25" i="8"/>
  <c r="M26" i="8"/>
  <c r="Y28" i="8"/>
  <c r="F30" i="8"/>
  <c r="W30" i="8"/>
  <c r="Z33" i="8"/>
  <c r="R34" i="8"/>
  <c r="D11" i="8"/>
  <c r="Z13" i="8"/>
  <c r="Z16" i="8"/>
  <c r="K11" i="8"/>
  <c r="C12" i="8"/>
  <c r="C39" i="8" s="1"/>
  <c r="C67" i="8" s="1"/>
  <c r="AA12" i="8"/>
  <c r="AA13" i="8"/>
  <c r="R11" i="8"/>
  <c r="V12" i="8"/>
  <c r="I13" i="8"/>
  <c r="C14" i="8"/>
  <c r="C41" i="8" s="1"/>
  <c r="C69" i="8" s="1"/>
  <c r="P14" i="8"/>
  <c r="V14" i="8"/>
  <c r="I15" i="8"/>
  <c r="P15" i="8"/>
  <c r="V15" i="8"/>
  <c r="I16" i="8"/>
  <c r="C17" i="8"/>
  <c r="C44" i="8" s="1"/>
  <c r="C72" i="8" s="1"/>
  <c r="P17" i="8"/>
  <c r="C18" i="8"/>
  <c r="C45" i="8" s="1"/>
  <c r="C73" i="8" s="1"/>
  <c r="P18" i="8"/>
  <c r="C19" i="8"/>
  <c r="C46" i="8" s="1"/>
  <c r="C74" i="8" s="1"/>
  <c r="I19" i="8"/>
  <c r="P19" i="8"/>
  <c r="V19" i="8"/>
  <c r="C20" i="8"/>
  <c r="C47" i="8" s="1"/>
  <c r="C75" i="8" s="1"/>
  <c r="Z21" i="8"/>
  <c r="P22" i="8"/>
  <c r="D23" i="8"/>
  <c r="S23" i="8"/>
  <c r="O26" i="8"/>
  <c r="L28" i="8"/>
  <c r="R29" i="8"/>
  <c r="G30" i="8"/>
  <c r="L32" i="8"/>
  <c r="U34" i="8"/>
  <c r="P11" i="8"/>
  <c r="S13" i="8"/>
  <c r="G17" i="8"/>
  <c r="F11" i="8"/>
  <c r="N12" i="8"/>
  <c r="U12" i="8"/>
  <c r="U13" i="8"/>
  <c r="G11" i="8"/>
  <c r="D12" i="8"/>
  <c r="P12" i="8"/>
  <c r="C13" i="8"/>
  <c r="C40" i="8" s="1"/>
  <c r="C68" i="8" s="1"/>
  <c r="P13" i="8"/>
  <c r="V13" i="8"/>
  <c r="I14" i="8"/>
  <c r="C15" i="8"/>
  <c r="C42" i="8" s="1"/>
  <c r="C70" i="8" s="1"/>
  <c r="C16" i="8"/>
  <c r="C43" i="8" s="1"/>
  <c r="C71" i="8" s="1"/>
  <c r="P16" i="8"/>
  <c r="V16" i="8"/>
  <c r="I17" i="8"/>
  <c r="V17" i="8"/>
  <c r="I18" i="8"/>
  <c r="V18" i="8"/>
  <c r="M11" i="8"/>
  <c r="X11" i="8"/>
  <c r="J12" i="8"/>
  <c r="L20" i="8"/>
  <c r="N21" i="8"/>
  <c r="J24" i="8"/>
  <c r="M25" i="8"/>
  <c r="Z25" i="8"/>
  <c r="R26" i="8"/>
  <c r="G27" i="8"/>
  <c r="E29" i="8"/>
  <c r="K30" i="8"/>
  <c r="Y30" i="8"/>
  <c r="J33" i="8"/>
  <c r="Z34" i="8"/>
  <c r="W20" i="8"/>
  <c r="I21" i="8"/>
  <c r="T21" i="8"/>
  <c r="F22" i="8"/>
  <c r="W22" i="8"/>
  <c r="I23" i="8"/>
  <c r="T23" i="8"/>
  <c r="F24" i="8"/>
  <c r="W24" i="8"/>
  <c r="I25" i="8"/>
  <c r="T27" i="8"/>
  <c r="Z27" i="8"/>
  <c r="G28" i="8"/>
  <c r="M28" i="8"/>
  <c r="Z28" i="8"/>
  <c r="G29" i="8"/>
  <c r="M29" i="8"/>
  <c r="Z30" i="8"/>
  <c r="O31" i="8"/>
  <c r="F32" i="8"/>
  <c r="O32" i="8"/>
  <c r="V32" i="8"/>
  <c r="M33" i="8"/>
  <c r="J65" i="8"/>
  <c r="X20" i="8"/>
  <c r="J21" i="8"/>
  <c r="U21" i="8"/>
  <c r="M22" i="8"/>
  <c r="X22" i="8"/>
  <c r="J23" i="8"/>
  <c r="U23" i="8"/>
  <c r="M24" i="8"/>
  <c r="X24" i="8"/>
  <c r="J25" i="8"/>
  <c r="O27" i="8"/>
  <c r="U27" i="8"/>
  <c r="AA27" i="8"/>
  <c r="H28" i="8"/>
  <c r="O28" i="8"/>
  <c r="U28" i="8"/>
  <c r="AA28" i="8"/>
  <c r="H29" i="8"/>
  <c r="AA30" i="8"/>
  <c r="Y31" i="8"/>
  <c r="G32" i="8"/>
  <c r="P32" i="8"/>
  <c r="W32" i="8"/>
  <c r="G33" i="8"/>
  <c r="W33" i="8"/>
  <c r="L65" i="8"/>
  <c r="N20" i="8"/>
  <c r="S20" i="8"/>
  <c r="E21" i="8"/>
  <c r="P21" i="8"/>
  <c r="H22" i="8"/>
  <c r="S22" i="8"/>
  <c r="E23" i="8"/>
  <c r="P23" i="8"/>
  <c r="H24" i="8"/>
  <c r="S24" i="8"/>
  <c r="E25" i="8"/>
  <c r="P25" i="8"/>
  <c r="V25" i="8"/>
  <c r="J26" i="8"/>
  <c r="P26" i="8"/>
  <c r="V26" i="8"/>
  <c r="C27" i="8"/>
  <c r="C54" i="8" s="1"/>
  <c r="C82" i="8" s="1"/>
  <c r="O29" i="8"/>
  <c r="U29" i="8"/>
  <c r="AA29" i="8"/>
  <c r="H30" i="8"/>
  <c r="O30" i="8"/>
  <c r="U30" i="8"/>
  <c r="R31" i="8"/>
  <c r="O33" i="8"/>
  <c r="F34" i="8"/>
  <c r="O34" i="8"/>
  <c r="V34" i="8"/>
  <c r="Y20" i="8"/>
  <c r="K21" i="8"/>
  <c r="C22" i="8"/>
  <c r="C49" i="8" s="1"/>
  <c r="C77" i="8" s="1"/>
  <c r="N22" i="8"/>
  <c r="Y22" i="8"/>
  <c r="K23" i="8"/>
  <c r="C24" i="8"/>
  <c r="C51" i="8" s="1"/>
  <c r="C79" i="8" s="1"/>
  <c r="N24" i="8"/>
  <c r="Y24" i="8"/>
  <c r="K25" i="8"/>
  <c r="W25" i="8"/>
  <c r="J27" i="8"/>
  <c r="P27" i="8"/>
  <c r="V27" i="8"/>
  <c r="J28" i="8"/>
  <c r="P28" i="8"/>
  <c r="V28" i="8"/>
  <c r="C29" i="8"/>
  <c r="C56" i="8" s="1"/>
  <c r="C84" i="8" s="1"/>
  <c r="C31" i="8"/>
  <c r="C58" i="8" s="1"/>
  <c r="C86" i="8" s="1"/>
  <c r="J31" i="8"/>
  <c r="Z31" i="8"/>
  <c r="J32" i="8"/>
  <c r="Q32" i="8"/>
  <c r="Z32" i="8"/>
  <c r="H33" i="8"/>
  <c r="O12" i="8"/>
  <c r="Y12" i="8"/>
  <c r="J13" i="8"/>
  <c r="T13" i="8"/>
  <c r="E14" i="8"/>
  <c r="O14" i="8"/>
  <c r="Y14" i="8"/>
  <c r="J15" i="8"/>
  <c r="T15" i="8"/>
  <c r="E16" i="8"/>
  <c r="T16" i="8"/>
  <c r="E17" i="8"/>
  <c r="O17" i="8"/>
  <c r="T17" i="8"/>
  <c r="E18" i="8"/>
  <c r="J18" i="8"/>
  <c r="O18" i="8"/>
  <c r="Y18" i="8"/>
  <c r="J19" i="8"/>
  <c r="O19" i="8"/>
  <c r="Y19" i="8"/>
  <c r="J20" i="8"/>
  <c r="O20" i="8"/>
  <c r="T20" i="8"/>
  <c r="W21" i="8"/>
  <c r="I22" i="8"/>
  <c r="F23" i="8"/>
  <c r="W23" i="8"/>
  <c r="T24" i="8"/>
  <c r="F25" i="8"/>
  <c r="K26" i="8"/>
  <c r="Q26" i="8"/>
  <c r="W26" i="8"/>
  <c r="W27" i="8"/>
  <c r="J29" i="8"/>
  <c r="P29" i="8"/>
  <c r="V29" i="8"/>
  <c r="P30" i="8"/>
  <c r="V30" i="8"/>
  <c r="L31" i="8"/>
  <c r="G34" i="8"/>
  <c r="W34" i="8"/>
  <c r="T12" i="8"/>
  <c r="E13" i="8"/>
  <c r="O13" i="8"/>
  <c r="Y13" i="8"/>
  <c r="J14" i="8"/>
  <c r="T14" i="8"/>
  <c r="E15" i="8"/>
  <c r="O15" i="8"/>
  <c r="Y15" i="8"/>
  <c r="J16" i="8"/>
  <c r="O16" i="8"/>
  <c r="Y16" i="8"/>
  <c r="J17" i="8"/>
  <c r="Y17" i="8"/>
  <c r="T18" i="8"/>
  <c r="E19" i="8"/>
  <c r="T19" i="8"/>
  <c r="E20" i="8"/>
  <c r="F21" i="8"/>
  <c r="T22" i="8"/>
  <c r="I24" i="8"/>
  <c r="E26" i="8"/>
  <c r="J30" i="8"/>
  <c r="Y33" i="8"/>
  <c r="P34" i="8"/>
  <c r="Z20" i="8"/>
  <c r="R21" i="8"/>
  <c r="D22" i="8"/>
  <c r="O22" i="8"/>
  <c r="Z22" i="8"/>
  <c r="R23" i="8"/>
  <c r="D24" i="8"/>
  <c r="O24" i="8"/>
  <c r="Z24" i="8"/>
  <c r="R25" i="8"/>
  <c r="E27" i="8"/>
  <c r="K27" i="8"/>
  <c r="E28" i="8"/>
  <c r="K28" i="8"/>
  <c r="Q28" i="8"/>
  <c r="W28" i="8"/>
  <c r="W29" i="8"/>
  <c r="T31" i="8"/>
  <c r="K32" i="8"/>
  <c r="R32" i="8"/>
  <c r="AA32" i="8"/>
  <c r="R33" i="8"/>
  <c r="E31" i="8"/>
  <c r="P31" i="8"/>
  <c r="AA31" i="8"/>
  <c r="M32" i="8"/>
  <c r="E33" i="8"/>
  <c r="P33" i="8"/>
  <c r="AA33" i="8"/>
  <c r="M34" i="8"/>
  <c r="F65" i="8"/>
  <c r="K31" i="8"/>
  <c r="V31" i="8"/>
  <c r="H32" i="8"/>
  <c r="Y32" i="8"/>
  <c r="K33" i="8"/>
  <c r="V33" i="8"/>
  <c r="H34" i="8"/>
  <c r="Y34" i="8"/>
  <c r="V20" i="8"/>
  <c r="AA20" i="8"/>
  <c r="G21" i="8"/>
  <c r="L21" i="8"/>
  <c r="Q21" i="8"/>
  <c r="V21" i="8"/>
  <c r="AA21" i="8"/>
  <c r="G22" i="8"/>
  <c r="L22" i="8"/>
  <c r="Q22" i="8"/>
  <c r="V22" i="8"/>
  <c r="AA22" i="8"/>
  <c r="G23" i="8"/>
  <c r="L23" i="8"/>
  <c r="Q23" i="8"/>
  <c r="V23" i="8"/>
  <c r="AA23" i="8"/>
  <c r="G24" i="8"/>
  <c r="L24" i="8"/>
  <c r="Q24" i="8"/>
  <c r="V24" i="8"/>
  <c r="AA24" i="8"/>
  <c r="G25" i="8"/>
  <c r="L25" i="8"/>
  <c r="Q25" i="8"/>
  <c r="C26" i="8"/>
  <c r="C53" i="8" s="1"/>
  <c r="C81" i="8" s="1"/>
  <c r="T26" i="8"/>
  <c r="F27" i="8"/>
  <c r="Q27" i="8"/>
  <c r="C28" i="8"/>
  <c r="C55" i="8" s="1"/>
  <c r="C83" i="8" s="1"/>
  <c r="T28" i="8"/>
  <c r="F29" i="8"/>
  <c r="Q29" i="8"/>
  <c r="C30" i="8"/>
  <c r="C57" i="8" s="1"/>
  <c r="C85" i="8" s="1"/>
  <c r="T30" i="8"/>
  <c r="F31" i="8"/>
  <c r="Q31" i="8"/>
  <c r="C32" i="8"/>
  <c r="C59" i="8" s="1"/>
  <c r="C87" i="8" s="1"/>
  <c r="T32" i="8"/>
  <c r="F33" i="8"/>
  <c r="Q33" i="8"/>
  <c r="C34" i="8"/>
  <c r="C61" i="8" s="1"/>
  <c r="C89" i="8" s="1"/>
  <c r="T34" i="8"/>
  <c r="H65" i="8"/>
  <c r="N65" i="8"/>
  <c r="D65" i="8"/>
  <c r="S25" i="8"/>
  <c r="X25" i="8"/>
  <c r="D26" i="8"/>
  <c r="I26" i="8"/>
  <c r="N26" i="8"/>
  <c r="S26" i="8"/>
  <c r="X26" i="8"/>
  <c r="D27" i="8"/>
  <c r="I27" i="8"/>
  <c r="N27" i="8"/>
  <c r="S27" i="8"/>
  <c r="X27" i="8"/>
  <c r="D28" i="8"/>
  <c r="I28" i="8"/>
  <c r="N28" i="8"/>
  <c r="S28" i="8"/>
  <c r="X28" i="8"/>
  <c r="D29" i="8"/>
  <c r="I29" i="8"/>
  <c r="N29" i="8"/>
  <c r="S29" i="8"/>
  <c r="X29" i="8"/>
  <c r="D30" i="8"/>
  <c r="I30" i="8"/>
  <c r="N30" i="8"/>
  <c r="S30" i="8"/>
  <c r="X30" i="8"/>
  <c r="D31" i="8"/>
  <c r="I31" i="8"/>
  <c r="N31" i="8"/>
  <c r="S31" i="8"/>
  <c r="X31" i="8"/>
  <c r="D32" i="8"/>
  <c r="I32" i="8"/>
  <c r="N32" i="8"/>
  <c r="S32" i="8"/>
  <c r="X32" i="8"/>
  <c r="D33" i="8"/>
  <c r="I33" i="8"/>
  <c r="N33" i="8"/>
  <c r="S33" i="8"/>
  <c r="X33" i="8"/>
  <c r="D34" i="8"/>
  <c r="I34" i="8"/>
  <c r="N34" i="8"/>
  <c r="S34" i="8"/>
  <c r="X34" i="8"/>
  <c r="R63" i="8"/>
  <c r="L31" i="7"/>
  <c r="M29" i="7"/>
  <c r="AA34" i="7"/>
  <c r="Q34" i="7"/>
  <c r="R32" i="7"/>
  <c r="G32" i="7"/>
  <c r="U31" i="7"/>
  <c r="J31" i="7"/>
  <c r="W30" i="7"/>
  <c r="W29" i="7"/>
  <c r="W28" i="7"/>
  <c r="W27" i="7"/>
  <c r="W26" i="7"/>
  <c r="W25" i="7"/>
  <c r="W24" i="7"/>
  <c r="U23" i="7"/>
  <c r="AA22" i="7"/>
  <c r="H31" i="7"/>
  <c r="U29" i="7"/>
  <c r="I29" i="7"/>
  <c r="U28" i="7"/>
  <c r="I28" i="7"/>
  <c r="U27" i="7"/>
  <c r="I27" i="7"/>
  <c r="U26" i="7"/>
  <c r="I26" i="7"/>
  <c r="U25" i="7"/>
  <c r="I25" i="7"/>
  <c r="U24" i="7"/>
  <c r="I24" i="7"/>
  <c r="Z22" i="7"/>
  <c r="M25" i="7"/>
  <c r="E32" i="7"/>
  <c r="H28" i="7"/>
  <c r="H27" i="7"/>
  <c r="H26" i="7"/>
  <c r="H25" i="7"/>
  <c r="H24" i="7"/>
  <c r="T23" i="7"/>
  <c r="U22" i="7"/>
  <c r="M27" i="7"/>
  <c r="X34" i="7"/>
  <c r="T29" i="7"/>
  <c r="T28" i="7"/>
  <c r="T27" i="7"/>
  <c r="T26" i="7"/>
  <c r="T25" i="7"/>
  <c r="T24" i="7"/>
  <c r="O23" i="7"/>
  <c r="Y33" i="7"/>
  <c r="M28" i="7"/>
  <c r="W23" i="7"/>
  <c r="N33" i="7"/>
  <c r="I30" i="7"/>
  <c r="F34" i="7"/>
  <c r="M33" i="7"/>
  <c r="H29" i="7"/>
  <c r="T33" i="7"/>
  <c r="G25" i="7"/>
  <c r="R34" i="7"/>
  <c r="Z34" i="7"/>
  <c r="G31" i="7"/>
  <c r="Z32" i="7"/>
  <c r="G26" i="7"/>
  <c r="Q25" i="7"/>
  <c r="Q24" i="7"/>
  <c r="N23" i="7"/>
  <c r="O22" i="7"/>
  <c r="M26" i="7"/>
  <c r="S31" i="7"/>
  <c r="R31" i="7"/>
  <c r="L33" i="7"/>
  <c r="G30" i="7"/>
  <c r="G24" i="7"/>
  <c r="V34" i="7"/>
  <c r="O24" i="7"/>
  <c r="I23" i="7"/>
  <c r="J34" i="7"/>
  <c r="W31" i="7"/>
  <c r="M30" i="7"/>
  <c r="M24" i="7"/>
  <c r="G34" i="7"/>
  <c r="P34" i="7"/>
  <c r="AA32" i="7"/>
  <c r="H30" i="7"/>
  <c r="T30" i="7"/>
  <c r="O34" i="7"/>
  <c r="O32" i="7"/>
  <c r="G28" i="7"/>
  <c r="J33" i="7"/>
  <c r="Q29" i="7"/>
  <c r="Q27" i="7"/>
  <c r="Q26" i="7"/>
  <c r="S33" i="7"/>
  <c r="V32" i="7"/>
  <c r="Y31" i="7"/>
  <c r="O30" i="7"/>
  <c r="O28" i="7"/>
  <c r="K34" i="7"/>
  <c r="AA30" i="7"/>
  <c r="AA26" i="7"/>
  <c r="AA24" i="7"/>
  <c r="H23" i="7"/>
  <c r="X33" i="7"/>
  <c r="U30" i="7"/>
  <c r="W33" i="7"/>
  <c r="P32" i="7"/>
  <c r="U33" i="7"/>
  <c r="E34" i="7"/>
  <c r="D32" i="7"/>
  <c r="G29" i="7"/>
  <c r="G27" i="7"/>
  <c r="T22" i="7"/>
  <c r="X32" i="7"/>
  <c r="Q30" i="7"/>
  <c r="Q28" i="7"/>
  <c r="D34" i="7"/>
  <c r="H33" i="7"/>
  <c r="K32" i="7"/>
  <c r="N31" i="7"/>
  <c r="O29" i="7"/>
  <c r="O27" i="7"/>
  <c r="O26" i="7"/>
  <c r="O25" i="7"/>
  <c r="U34" i="7"/>
  <c r="R33" i="7"/>
  <c r="M31" i="7"/>
  <c r="AA29" i="7"/>
  <c r="AA28" i="7"/>
  <c r="AA27" i="7"/>
  <c r="AA25" i="7"/>
  <c r="AA23" i="7"/>
  <c r="N22" i="7"/>
  <c r="G33" i="7"/>
  <c r="U32" i="7"/>
  <c r="J32" i="7"/>
  <c r="X31" i="7"/>
  <c r="Z30" i="7"/>
  <c r="N30" i="7"/>
  <c r="Z29" i="7"/>
  <c r="N29" i="7"/>
  <c r="Z28" i="7"/>
  <c r="N28" i="7"/>
  <c r="Z27" i="7"/>
  <c r="N27" i="7"/>
  <c r="Z26" i="7"/>
  <c r="N26" i="7"/>
  <c r="Z25" i="7"/>
  <c r="N25" i="7"/>
  <c r="Z24" i="7"/>
  <c r="N24" i="7"/>
  <c r="Z23" i="7"/>
  <c r="W22" i="7"/>
  <c r="Q21" i="7"/>
  <c r="W20" i="7"/>
  <c r="Q20" i="7"/>
  <c r="W19" i="7"/>
  <c r="Q19" i="7"/>
  <c r="Q23" i="7"/>
  <c r="Q22" i="7"/>
  <c r="W21" i="7"/>
  <c r="W34" i="7"/>
  <c r="L34" i="7"/>
  <c r="Z33" i="7"/>
  <c r="O33" i="7"/>
  <c r="D33" i="7"/>
  <c r="W32" i="7"/>
  <c r="L32" i="7"/>
  <c r="Z31" i="7"/>
  <c r="O31" i="7"/>
  <c r="D31" i="7"/>
  <c r="P30" i="7"/>
  <c r="J30" i="7"/>
  <c r="D30" i="7"/>
  <c r="P29" i="7"/>
  <c r="J29" i="7"/>
  <c r="D29" i="7"/>
  <c r="P28" i="7"/>
  <c r="J28" i="7"/>
  <c r="D28" i="7"/>
  <c r="P27" i="7"/>
  <c r="J27" i="7"/>
  <c r="D27" i="7"/>
  <c r="P26" i="7"/>
  <c r="J26" i="7"/>
  <c r="D26" i="7"/>
  <c r="P25" i="7"/>
  <c r="J25" i="7"/>
  <c r="D25" i="7"/>
  <c r="P24" i="7"/>
  <c r="J24" i="7"/>
  <c r="D24" i="7"/>
  <c r="P23" i="7"/>
  <c r="J23" i="7"/>
  <c r="D23" i="7"/>
  <c r="P22" i="7"/>
  <c r="J22" i="7"/>
  <c r="D22" i="7"/>
  <c r="P21" i="7"/>
  <c r="J21" i="7"/>
  <c r="D21" i="7"/>
  <c r="P20" i="7"/>
  <c r="J20" i="7"/>
  <c r="D20" i="7"/>
  <c r="P19" i="7"/>
  <c r="J19" i="7"/>
  <c r="I33" i="7"/>
  <c r="C33" i="7"/>
  <c r="C60" i="7" s="1"/>
  <c r="C88" i="7" s="1"/>
  <c r="Q32" i="7"/>
  <c r="F32" i="7"/>
  <c r="T31" i="7"/>
  <c r="I31" i="7"/>
  <c r="C31" i="7"/>
  <c r="C58" i="7" s="1"/>
  <c r="C86" i="7" s="1"/>
  <c r="V30" i="7"/>
  <c r="C30" i="7"/>
  <c r="C57" i="7" s="1"/>
  <c r="C85" i="7" s="1"/>
  <c r="V29" i="7"/>
  <c r="C29" i="7"/>
  <c r="C56" i="7" s="1"/>
  <c r="C84" i="7" s="1"/>
  <c r="V28" i="7"/>
  <c r="C28" i="7"/>
  <c r="C55" i="7" s="1"/>
  <c r="C83" i="7" s="1"/>
  <c r="V27" i="7"/>
  <c r="C27" i="7"/>
  <c r="C54" i="7" s="1"/>
  <c r="C82" i="7" s="1"/>
  <c r="V26" i="7"/>
  <c r="C26" i="7"/>
  <c r="C53" i="7" s="1"/>
  <c r="C81" i="7" s="1"/>
  <c r="V25" i="7"/>
  <c r="C25" i="7"/>
  <c r="C52" i="7" s="1"/>
  <c r="C80" i="7" s="1"/>
  <c r="V24" i="7"/>
  <c r="C24" i="7"/>
  <c r="C51" i="7" s="1"/>
  <c r="C79" i="7" s="1"/>
  <c r="V23" i="7"/>
  <c r="C23" i="7"/>
  <c r="C50" i="7" s="1"/>
  <c r="C78" i="7" s="1"/>
  <c r="V22" i="7"/>
  <c r="C22" i="7"/>
  <c r="C49" i="7" s="1"/>
  <c r="C77" i="7" s="1"/>
  <c r="V21" i="7"/>
  <c r="C21" i="7"/>
  <c r="C48" i="7" s="1"/>
  <c r="C76" i="7" s="1"/>
  <c r="V20" i="7"/>
  <c r="C20" i="7"/>
  <c r="C47" i="7" s="1"/>
  <c r="C75" i="7" s="1"/>
  <c r="V19" i="7"/>
  <c r="I22" i="7"/>
  <c r="U21" i="7"/>
  <c r="O21" i="7"/>
  <c r="I21" i="7"/>
  <c r="U20" i="7"/>
  <c r="O20" i="7"/>
  <c r="I20" i="7"/>
  <c r="U19" i="7"/>
  <c r="O19" i="7"/>
  <c r="I19" i="7"/>
  <c r="H22" i="7"/>
  <c r="AA21" i="7"/>
  <c r="H21" i="7"/>
  <c r="AA20" i="7"/>
  <c r="H20" i="7"/>
  <c r="AA19" i="7"/>
  <c r="H19" i="7"/>
  <c r="Z21" i="7"/>
  <c r="T21" i="7"/>
  <c r="N21" i="7"/>
  <c r="Z20" i="7"/>
  <c r="T20" i="7"/>
  <c r="N20" i="7"/>
  <c r="Z19" i="7"/>
  <c r="T19" i="7"/>
  <c r="N19" i="7"/>
  <c r="E19" i="7"/>
  <c r="M23" i="7"/>
  <c r="G22" i="7"/>
  <c r="G21" i="7"/>
  <c r="M20" i="7"/>
  <c r="G20" i="7"/>
  <c r="T34" i="7"/>
  <c r="I34" i="7"/>
  <c r="C32" i="7"/>
  <c r="C59" i="7" s="1"/>
  <c r="C87" i="7" s="1"/>
  <c r="Y30" i="7"/>
  <c r="F30" i="7"/>
  <c r="S29" i="7"/>
  <c r="Y28" i="7"/>
  <c r="F28" i="7"/>
  <c r="S27" i="7"/>
  <c r="Y26" i="7"/>
  <c r="F26" i="7"/>
  <c r="S25" i="7"/>
  <c r="Y24" i="7"/>
  <c r="F24" i="7"/>
  <c r="Y23" i="7"/>
  <c r="S23" i="7"/>
  <c r="F23" i="7"/>
  <c r="Y22" i="7"/>
  <c r="S22" i="7"/>
  <c r="F22" i="7"/>
  <c r="Y21" i="7"/>
  <c r="S21" i="7"/>
  <c r="F21" i="7"/>
  <c r="Y20" i="7"/>
  <c r="S20" i="7"/>
  <c r="F20" i="7"/>
  <c r="Y19" i="7"/>
  <c r="S19" i="7"/>
  <c r="Y34" i="7"/>
  <c r="N34" i="7"/>
  <c r="H34" i="7"/>
  <c r="V33" i="7"/>
  <c r="K33" i="7"/>
  <c r="Y32" i="7"/>
  <c r="N32" i="7"/>
  <c r="H32" i="7"/>
  <c r="V31" i="7"/>
  <c r="K31" i="7"/>
  <c r="R30" i="7"/>
  <c r="L30" i="7"/>
  <c r="R29" i="7"/>
  <c r="L29" i="7"/>
  <c r="R28" i="7"/>
  <c r="L28" i="7"/>
  <c r="R27" i="7"/>
  <c r="L27" i="7"/>
  <c r="R26" i="7"/>
  <c r="L26" i="7"/>
  <c r="R25" i="7"/>
  <c r="L25" i="7"/>
  <c r="R24" i="7"/>
  <c r="L24" i="7"/>
  <c r="R23" i="7"/>
  <c r="L23" i="7"/>
  <c r="R22" i="7"/>
  <c r="L22" i="7"/>
  <c r="R21" i="7"/>
  <c r="L21" i="7"/>
  <c r="R20" i="7"/>
  <c r="L20" i="7"/>
  <c r="R19" i="7"/>
  <c r="L19" i="7"/>
  <c r="G23" i="7"/>
  <c r="M22" i="7"/>
  <c r="M21" i="7"/>
  <c r="M19" i="7"/>
  <c r="C34" i="7"/>
  <c r="C61" i="7" s="1"/>
  <c r="C89" i="7" s="1"/>
  <c r="Q33" i="7"/>
  <c r="F33" i="7"/>
  <c r="T32" i="7"/>
  <c r="I32" i="7"/>
  <c r="Q31" i="7"/>
  <c r="F31" i="7"/>
  <c r="S30" i="7"/>
  <c r="Y29" i="7"/>
  <c r="F29" i="7"/>
  <c r="S28" i="7"/>
  <c r="Y27" i="7"/>
  <c r="F27" i="7"/>
  <c r="S26" i="7"/>
  <c r="Y25" i="7"/>
  <c r="F25" i="7"/>
  <c r="S24" i="7"/>
  <c r="S34" i="7"/>
  <c r="M34" i="7"/>
  <c r="AA33" i="7"/>
  <c r="P33" i="7"/>
  <c r="E33" i="7"/>
  <c r="S32" i="7"/>
  <c r="M32" i="7"/>
  <c r="AA31" i="7"/>
  <c r="P31" i="7"/>
  <c r="E31" i="7"/>
  <c r="X30" i="7"/>
  <c r="K30" i="7"/>
  <c r="E30" i="7"/>
  <c r="X29" i="7"/>
  <c r="K29" i="7"/>
  <c r="E29" i="7"/>
  <c r="X28" i="7"/>
  <c r="K28" i="7"/>
  <c r="E28" i="7"/>
  <c r="X27" i="7"/>
  <c r="K27" i="7"/>
  <c r="E27" i="7"/>
  <c r="X26" i="7"/>
  <c r="K26" i="7"/>
  <c r="E26" i="7"/>
  <c r="X25" i="7"/>
  <c r="K25" i="7"/>
  <c r="E25" i="7"/>
  <c r="X24" i="7"/>
  <c r="K24" i="7"/>
  <c r="E24" i="7"/>
  <c r="X23" i="7"/>
  <c r="K23" i="7"/>
  <c r="E23" i="7"/>
  <c r="X22" i="7"/>
  <c r="K22" i="7"/>
  <c r="E22" i="7"/>
  <c r="X21" i="7"/>
  <c r="K21" i="7"/>
  <c r="E21" i="7"/>
  <c r="X20" i="7"/>
  <c r="K20" i="7"/>
  <c r="E20" i="7"/>
  <c r="X19" i="7"/>
  <c r="K19" i="7"/>
  <c r="D19" i="7"/>
  <c r="G19" i="7"/>
  <c r="F19" i="7"/>
  <c r="C19" i="7"/>
  <c r="C46" i="7" s="1"/>
  <c r="C74" i="7" s="1"/>
  <c r="E15" i="7"/>
  <c r="J11" i="7"/>
  <c r="Q13" i="7"/>
  <c r="M11" i="7"/>
  <c r="Q12" i="7"/>
  <c r="C16" i="7"/>
  <c r="C43" i="7" s="1"/>
  <c r="C71" i="7" s="1"/>
  <c r="L12" i="7"/>
  <c r="K14" i="7"/>
  <c r="F16" i="7"/>
  <c r="Z11" i="7"/>
  <c r="K15" i="7"/>
  <c r="F18" i="7"/>
  <c r="D11" i="7"/>
  <c r="E12" i="7"/>
  <c r="W13" i="7"/>
  <c r="L18" i="7"/>
  <c r="U11" i="7"/>
  <c r="W17" i="7"/>
  <c r="AA16" i="7"/>
  <c r="G17" i="7"/>
  <c r="N11" i="7"/>
  <c r="E13" i="7"/>
  <c r="H17" i="7"/>
  <c r="Q14" i="7"/>
  <c r="O11" i="7"/>
  <c r="R12" i="7"/>
  <c r="Q15" i="7"/>
  <c r="K13" i="7"/>
  <c r="W14" i="7"/>
  <c r="C11" i="7"/>
  <c r="C38" i="7" s="1"/>
  <c r="C66" i="7" s="1"/>
  <c r="P12" i="7"/>
  <c r="K16" i="7"/>
  <c r="L16" i="7"/>
  <c r="F12" i="7"/>
  <c r="P17" i="7"/>
  <c r="S11" i="7"/>
  <c r="H11" i="7"/>
  <c r="T11" i="7"/>
  <c r="G12" i="7"/>
  <c r="E14" i="7"/>
  <c r="I11" i="7"/>
  <c r="W12" i="7"/>
  <c r="W15" i="7"/>
  <c r="C18" i="7"/>
  <c r="C45" i="7" s="1"/>
  <c r="C73" i="7" s="1"/>
  <c r="K18" i="7"/>
  <c r="H65" i="7"/>
  <c r="Y11" i="7"/>
  <c r="K12" i="7"/>
  <c r="V12" i="7"/>
  <c r="C13" i="7"/>
  <c r="C40" i="7" s="1"/>
  <c r="C68" i="7" s="1"/>
  <c r="J13" i="7"/>
  <c r="P13" i="7"/>
  <c r="V13" i="7"/>
  <c r="C14" i="7"/>
  <c r="C41" i="7" s="1"/>
  <c r="C69" i="7" s="1"/>
  <c r="J14" i="7"/>
  <c r="P14" i="7"/>
  <c r="V14" i="7"/>
  <c r="C15" i="7"/>
  <c r="C42" i="7" s="1"/>
  <c r="C70" i="7" s="1"/>
  <c r="J15" i="7"/>
  <c r="P15" i="7"/>
  <c r="V15" i="7"/>
  <c r="R16" i="7"/>
  <c r="Z16" i="7"/>
  <c r="V17" i="7"/>
  <c r="R18" i="7"/>
  <c r="Z18" i="7"/>
  <c r="J65" i="7"/>
  <c r="AA18" i="7"/>
  <c r="M16" i="7"/>
  <c r="Q17" i="7"/>
  <c r="U18" i="7"/>
  <c r="U16" i="7"/>
  <c r="Y12" i="7"/>
  <c r="Y13" i="7"/>
  <c r="C17" i="7"/>
  <c r="C44" i="7" s="1"/>
  <c r="C72" i="7" s="1"/>
  <c r="G18" i="7"/>
  <c r="K11" i="7"/>
  <c r="V11" i="7"/>
  <c r="H12" i="7"/>
  <c r="N12" i="7"/>
  <c r="Z15" i="7"/>
  <c r="V16" i="7"/>
  <c r="R17" i="7"/>
  <c r="Z17" i="7"/>
  <c r="V18" i="7"/>
  <c r="M18" i="7"/>
  <c r="P11" i="7"/>
  <c r="S12" i="7"/>
  <c r="R13" i="7"/>
  <c r="L14" i="7"/>
  <c r="Y14" i="7"/>
  <c r="L15" i="7"/>
  <c r="R15" i="7"/>
  <c r="G16" i="7"/>
  <c r="K17" i="7"/>
  <c r="F11" i="7"/>
  <c r="Q11" i="7"/>
  <c r="C12" i="7"/>
  <c r="C39" i="7" s="1"/>
  <c r="C67" i="7" s="1"/>
  <c r="I12" i="7"/>
  <c r="T12" i="7"/>
  <c r="Z12" i="7"/>
  <c r="G13" i="7"/>
  <c r="M13" i="7"/>
  <c r="T13" i="7"/>
  <c r="Z13" i="7"/>
  <c r="G14" i="7"/>
  <c r="M14" i="7"/>
  <c r="T14" i="7"/>
  <c r="Z14" i="7"/>
  <c r="G15" i="7"/>
  <c r="M15" i="7"/>
  <c r="T15" i="7"/>
  <c r="H16" i="7"/>
  <c r="P16" i="7"/>
  <c r="L17" i="7"/>
  <c r="H18" i="7"/>
  <c r="P18" i="7"/>
  <c r="M12" i="7"/>
  <c r="L13" i="7"/>
  <c r="F14" i="7"/>
  <c r="R14" i="7"/>
  <c r="F15" i="7"/>
  <c r="L11" i="7"/>
  <c r="W11" i="7"/>
  <c r="D12" i="7"/>
  <c r="O12" i="7"/>
  <c r="AA15" i="7"/>
  <c r="W16" i="7"/>
  <c r="F17" i="7"/>
  <c r="AA17" i="7"/>
  <c r="W18" i="7"/>
  <c r="F65" i="7"/>
  <c r="E11" i="7"/>
  <c r="AA11" i="7"/>
  <c r="F13" i="7"/>
  <c r="G11" i="7"/>
  <c r="R11" i="7"/>
  <c r="X11" i="7"/>
  <c r="J12" i="7"/>
  <c r="U12" i="7"/>
  <c r="AA12" i="7"/>
  <c r="H13" i="7"/>
  <c r="O13" i="7"/>
  <c r="U13" i="7"/>
  <c r="AA13" i="7"/>
  <c r="H14" i="7"/>
  <c r="O14" i="7"/>
  <c r="U14" i="7"/>
  <c r="AA14" i="7"/>
  <c r="H15" i="7"/>
  <c r="O15" i="7"/>
  <c r="U15" i="7"/>
  <c r="Q16" i="7"/>
  <c r="M17" i="7"/>
  <c r="U17" i="7"/>
  <c r="Q18" i="7"/>
  <c r="D65" i="7"/>
  <c r="N65" i="7"/>
  <c r="Y15" i="7"/>
  <c r="E16" i="7"/>
  <c r="J16" i="7"/>
  <c r="O16" i="7"/>
  <c r="T16" i="7"/>
  <c r="Y16" i="7"/>
  <c r="E17" i="7"/>
  <c r="J17" i="7"/>
  <c r="O17" i="7"/>
  <c r="T17" i="7"/>
  <c r="Y17" i="7"/>
  <c r="E18" i="7"/>
  <c r="J18" i="7"/>
  <c r="O18" i="7"/>
  <c r="T18" i="7"/>
  <c r="Y18" i="7"/>
  <c r="L65" i="7"/>
  <c r="X12" i="7"/>
  <c r="D13" i="7"/>
  <c r="I13" i="7"/>
  <c r="N13" i="7"/>
  <c r="S13" i="7"/>
  <c r="X13" i="7"/>
  <c r="D14" i="7"/>
  <c r="I14" i="7"/>
  <c r="N14" i="7"/>
  <c r="S14" i="7"/>
  <c r="X14" i="7"/>
  <c r="D15" i="7"/>
  <c r="I15" i="7"/>
  <c r="N15" i="7"/>
  <c r="S15" i="7"/>
  <c r="X15" i="7"/>
  <c r="D16" i="7"/>
  <c r="I16" i="7"/>
  <c r="N16" i="7"/>
  <c r="S16" i="7"/>
  <c r="X16" i="7"/>
  <c r="D17" i="7"/>
  <c r="I17" i="7"/>
  <c r="N17" i="7"/>
  <c r="S17" i="7"/>
  <c r="X17" i="7"/>
  <c r="D18" i="7"/>
  <c r="I18" i="7"/>
  <c r="N18" i="7"/>
  <c r="S18" i="7"/>
  <c r="X18" i="7"/>
  <c r="P63" i="7"/>
  <c r="I11" i="6"/>
  <c r="Z12" i="6"/>
  <c r="M15" i="6"/>
  <c r="D12" i="6"/>
  <c r="Q12" i="6"/>
  <c r="G13" i="6"/>
  <c r="N13" i="6"/>
  <c r="U13" i="6"/>
  <c r="E14" i="6"/>
  <c r="L14" i="6"/>
  <c r="U14" i="6"/>
  <c r="L15" i="6"/>
  <c r="L16" i="6"/>
  <c r="Y18" i="6"/>
  <c r="H65" i="6"/>
  <c r="W11" i="6"/>
  <c r="V14" i="6"/>
  <c r="U11" i="6"/>
  <c r="X12" i="6"/>
  <c r="C15" i="6"/>
  <c r="C42" i="6" s="1"/>
  <c r="C70" i="6" s="1"/>
  <c r="D16" i="6"/>
  <c r="V16" i="6"/>
  <c r="H11" i="6"/>
  <c r="O11" i="6"/>
  <c r="V11" i="6"/>
  <c r="K12" i="6"/>
  <c r="Y12" i="6"/>
  <c r="W13" i="6"/>
  <c r="D15" i="6"/>
  <c r="T15" i="6"/>
  <c r="E16" i="6"/>
  <c r="P17" i="6"/>
  <c r="AA17" i="6"/>
  <c r="R12" i="6"/>
  <c r="O16" i="6"/>
  <c r="I17" i="6"/>
  <c r="G15" i="6"/>
  <c r="F14" i="6"/>
  <c r="C11" i="6"/>
  <c r="C38" i="6" s="1"/>
  <c r="C66" i="6" s="1"/>
  <c r="F16" i="6"/>
  <c r="W15" i="6"/>
  <c r="O13" i="6"/>
  <c r="W16" i="6"/>
  <c r="I13" i="6"/>
  <c r="T17" i="6"/>
  <c r="F12" i="6"/>
  <c r="Y13" i="6"/>
  <c r="Q18" i="6"/>
  <c r="Y11" i="6"/>
  <c r="J13" i="6"/>
  <c r="Q16" i="6"/>
  <c r="L11" i="6"/>
  <c r="S11" i="6"/>
  <c r="G12" i="6"/>
  <c r="O12" i="6"/>
  <c r="C13" i="6"/>
  <c r="C40" i="6" s="1"/>
  <c r="C68" i="6" s="1"/>
  <c r="K13" i="6"/>
  <c r="S13" i="6"/>
  <c r="Z13" i="6"/>
  <c r="J14" i="6"/>
  <c r="Q14" i="6"/>
  <c r="Z14" i="6"/>
  <c r="H15" i="6"/>
  <c r="Y15" i="6"/>
  <c r="L17" i="6"/>
  <c r="U18" i="6"/>
  <c r="X13" i="6"/>
  <c r="R17" i="6"/>
  <c r="L12" i="6"/>
  <c r="U15" i="6"/>
  <c r="G14" i="6"/>
  <c r="Z16" i="6"/>
  <c r="D11" i="6"/>
  <c r="AA16" i="6"/>
  <c r="Z11" i="6"/>
  <c r="H12" i="6"/>
  <c r="V12" i="6"/>
  <c r="D13" i="6"/>
  <c r="L13" i="6"/>
  <c r="I15" i="6"/>
  <c r="R16" i="6"/>
  <c r="C17" i="6"/>
  <c r="C44" i="6" s="1"/>
  <c r="C72" i="6" s="1"/>
  <c r="M17" i="6"/>
  <c r="V17" i="6"/>
  <c r="J18" i="6"/>
  <c r="V18" i="6"/>
  <c r="D65" i="6"/>
  <c r="H13" i="6"/>
  <c r="H17" i="6"/>
  <c r="X11" i="6"/>
  <c r="N15" i="6"/>
  <c r="X16" i="6"/>
  <c r="P14" i="6"/>
  <c r="R11" i="6"/>
  <c r="U12" i="6"/>
  <c r="X14" i="6"/>
  <c r="G16" i="6"/>
  <c r="U17" i="6"/>
  <c r="M11" i="6"/>
  <c r="T11" i="6"/>
  <c r="P12" i="6"/>
  <c r="T13" i="6"/>
  <c r="D14" i="6"/>
  <c r="K14" i="6"/>
  <c r="R14" i="6"/>
  <c r="AA14" i="6"/>
  <c r="R15" i="6"/>
  <c r="Z15" i="6"/>
  <c r="K16" i="6"/>
  <c r="D17" i="6"/>
  <c r="Y17" i="6"/>
  <c r="E12" i="6"/>
  <c r="O14" i="6"/>
  <c r="P18" i="6"/>
  <c r="P16" i="6"/>
  <c r="J11" i="6"/>
  <c r="AA12" i="6"/>
  <c r="W14" i="6"/>
  <c r="K11" i="6"/>
  <c r="N12" i="6"/>
  <c r="R13" i="6"/>
  <c r="O15" i="6"/>
  <c r="J17" i="6"/>
  <c r="G11" i="6"/>
  <c r="N11" i="6"/>
  <c r="J12" i="6"/>
  <c r="W12" i="6"/>
  <c r="M13" i="6"/>
  <c r="J15" i="6"/>
  <c r="S15" i="6"/>
  <c r="O17" i="6"/>
  <c r="Z17" i="6"/>
  <c r="K18" i="6"/>
  <c r="F65" i="6"/>
  <c r="X15" i="6"/>
  <c r="J16" i="6"/>
  <c r="U16" i="6"/>
  <c r="G17" i="6"/>
  <c r="G18" i="6"/>
  <c r="O18" i="6"/>
  <c r="E11" i="6"/>
  <c r="P11" i="6"/>
  <c r="AA11" i="6"/>
  <c r="M12" i="6"/>
  <c r="S12" i="6"/>
  <c r="E13" i="6"/>
  <c r="P13" i="6"/>
  <c r="AA13" i="6"/>
  <c r="M14" i="6"/>
  <c r="S14" i="6"/>
  <c r="E15" i="6"/>
  <c r="P15" i="6"/>
  <c r="AA15" i="6"/>
  <c r="M16" i="6"/>
  <c r="S16" i="6"/>
  <c r="E17" i="6"/>
  <c r="E18" i="6"/>
  <c r="Z18" i="6"/>
  <c r="V13" i="6"/>
  <c r="H14" i="6"/>
  <c r="K15" i="6"/>
  <c r="H16" i="6"/>
  <c r="K17" i="6"/>
  <c r="W17" i="6"/>
  <c r="T18" i="6"/>
  <c r="J65" i="6"/>
  <c r="N14" i="6"/>
  <c r="Y14" i="6"/>
  <c r="V15" i="6"/>
  <c r="N16" i="6"/>
  <c r="Y16" i="6"/>
  <c r="Q17" i="6"/>
  <c r="L18" i="6"/>
  <c r="F11" i="6"/>
  <c r="Q11" i="6"/>
  <c r="C12" i="6"/>
  <c r="C39" i="6" s="1"/>
  <c r="C67" i="6" s="1"/>
  <c r="I12" i="6"/>
  <c r="T12" i="6"/>
  <c r="F13" i="6"/>
  <c r="Q13" i="6"/>
  <c r="C14" i="6"/>
  <c r="C41" i="6" s="1"/>
  <c r="C69" i="6" s="1"/>
  <c r="I14" i="6"/>
  <c r="T14" i="6"/>
  <c r="F15" i="6"/>
  <c r="Q15" i="6"/>
  <c r="C16" i="6"/>
  <c r="C43" i="6" s="1"/>
  <c r="C71" i="6" s="1"/>
  <c r="I16" i="6"/>
  <c r="T16" i="6"/>
  <c r="F17" i="6"/>
  <c r="F18" i="6"/>
  <c r="AA18" i="6"/>
  <c r="N65" i="6"/>
  <c r="C18" i="6"/>
  <c r="C45" i="6" s="1"/>
  <c r="C73" i="6" s="1"/>
  <c r="H18" i="6"/>
  <c r="M18" i="6"/>
  <c r="R18" i="6"/>
  <c r="W18" i="6"/>
  <c r="L65" i="6"/>
  <c r="N17" i="6"/>
  <c r="S17" i="6"/>
  <c r="X17" i="6"/>
  <c r="D18" i="6"/>
  <c r="I18" i="6"/>
  <c r="N18" i="6"/>
  <c r="S18" i="6"/>
  <c r="X18" i="6"/>
  <c r="P63" i="6"/>
  <c r="H14" i="5"/>
  <c r="Y14" i="5"/>
  <c r="H15" i="5"/>
  <c r="Y15" i="5"/>
  <c r="H16" i="5"/>
  <c r="Y16" i="5"/>
  <c r="H17" i="5"/>
  <c r="Y17" i="5"/>
  <c r="H18" i="5"/>
  <c r="Y18" i="5"/>
  <c r="I11" i="5"/>
  <c r="F12" i="5"/>
  <c r="M12" i="5"/>
  <c r="T12" i="5"/>
  <c r="AA12" i="5"/>
  <c r="I13" i="5"/>
  <c r="Q13" i="5"/>
  <c r="Z13" i="5"/>
  <c r="Q14" i="5"/>
  <c r="Z14" i="5"/>
  <c r="Q15" i="5"/>
  <c r="Z15" i="5"/>
  <c r="Q16" i="5"/>
  <c r="Z16" i="5"/>
  <c r="Q17" i="5"/>
  <c r="Z17" i="5"/>
  <c r="Q18" i="5"/>
  <c r="Z18" i="5"/>
  <c r="L65" i="5"/>
  <c r="W11" i="5"/>
  <c r="L12" i="5"/>
  <c r="Q11" i="5"/>
  <c r="J13" i="5"/>
  <c r="J15" i="5"/>
  <c r="J16" i="5"/>
  <c r="J18" i="5"/>
  <c r="AA14" i="5"/>
  <c r="AA16" i="5"/>
  <c r="AA18" i="5"/>
  <c r="D11" i="5"/>
  <c r="Z11" i="5"/>
  <c r="H12" i="5"/>
  <c r="O12" i="5"/>
  <c r="V12" i="5"/>
  <c r="D13" i="5"/>
  <c r="T13" i="5"/>
  <c r="C14" i="5"/>
  <c r="C41" i="5" s="1"/>
  <c r="C69" i="5" s="1"/>
  <c r="T14" i="5"/>
  <c r="C15" i="5"/>
  <c r="C42" i="5" s="1"/>
  <c r="C70" i="5" s="1"/>
  <c r="T15" i="5"/>
  <c r="C16" i="5"/>
  <c r="C43" i="5" s="1"/>
  <c r="C71" i="5" s="1"/>
  <c r="T16" i="5"/>
  <c r="C17" i="5"/>
  <c r="C44" i="5" s="1"/>
  <c r="C72" i="5" s="1"/>
  <c r="T17" i="5"/>
  <c r="C18" i="5"/>
  <c r="C45" i="5" s="1"/>
  <c r="C73" i="5" s="1"/>
  <c r="T18" i="5"/>
  <c r="P11" i="5"/>
  <c r="S12" i="5"/>
  <c r="J11" i="5"/>
  <c r="J14" i="5"/>
  <c r="J17" i="5"/>
  <c r="N12" i="5"/>
  <c r="K14" i="5"/>
  <c r="K16" i="5"/>
  <c r="K17" i="5"/>
  <c r="E11" i="5"/>
  <c r="L11" i="5"/>
  <c r="P12" i="5"/>
  <c r="W12" i="5"/>
  <c r="E13" i="5"/>
  <c r="U13" i="5"/>
  <c r="L14" i="5"/>
  <c r="U14" i="5"/>
  <c r="L15" i="5"/>
  <c r="U15" i="5"/>
  <c r="L16" i="5"/>
  <c r="U16" i="5"/>
  <c r="L17" i="5"/>
  <c r="L18" i="5"/>
  <c r="U18" i="5"/>
  <c r="E12" i="5"/>
  <c r="Y13" i="5"/>
  <c r="X11" i="5"/>
  <c r="U12" i="5"/>
  <c r="R14" i="5"/>
  <c r="R16" i="5"/>
  <c r="Y11" i="5"/>
  <c r="AA15" i="5"/>
  <c r="K18" i="5"/>
  <c r="S11" i="5"/>
  <c r="L13" i="5"/>
  <c r="U17" i="5"/>
  <c r="F11" i="5"/>
  <c r="M11" i="5"/>
  <c r="T11" i="5"/>
  <c r="AA11" i="5"/>
  <c r="I12" i="5"/>
  <c r="F13" i="5"/>
  <c r="M13" i="5"/>
  <c r="E14" i="5"/>
  <c r="M14" i="5"/>
  <c r="E15" i="5"/>
  <c r="M15" i="5"/>
  <c r="E16" i="5"/>
  <c r="M16" i="5"/>
  <c r="E17" i="5"/>
  <c r="M17" i="5"/>
  <c r="E18" i="5"/>
  <c r="M18" i="5"/>
  <c r="R18" i="5"/>
  <c r="G12" i="5"/>
  <c r="C12" i="5"/>
  <c r="C39" i="5" s="1"/>
  <c r="C67" i="5" s="1"/>
  <c r="J12" i="5"/>
  <c r="Q12" i="5"/>
  <c r="X12" i="5"/>
  <c r="V13" i="5"/>
  <c r="F14" i="5"/>
  <c r="V14" i="5"/>
  <c r="F15" i="5"/>
  <c r="V15" i="5"/>
  <c r="F16" i="5"/>
  <c r="V16" i="5"/>
  <c r="F17" i="5"/>
  <c r="V17" i="5"/>
  <c r="F18" i="5"/>
  <c r="V18" i="5"/>
  <c r="C11" i="5"/>
  <c r="C38" i="5" s="1"/>
  <c r="C66" i="5" s="1"/>
  <c r="R13" i="5"/>
  <c r="R15" i="5"/>
  <c r="R11" i="5"/>
  <c r="K13" i="5"/>
  <c r="K15" i="5"/>
  <c r="AA17" i="5"/>
  <c r="U11" i="5"/>
  <c r="G11" i="5"/>
  <c r="N11" i="5"/>
  <c r="K12" i="5"/>
  <c r="R12" i="5"/>
  <c r="Y12" i="5"/>
  <c r="G13" i="5"/>
  <c r="W13" i="5"/>
  <c r="O14" i="5"/>
  <c r="W14" i="5"/>
  <c r="O15" i="5"/>
  <c r="W15" i="5"/>
  <c r="W16" i="5"/>
  <c r="W17" i="5"/>
  <c r="W18" i="5"/>
  <c r="H65" i="5"/>
  <c r="C13" i="5"/>
  <c r="C40" i="5" s="1"/>
  <c r="C68" i="5" s="1"/>
  <c r="R17" i="5"/>
  <c r="K11" i="5"/>
  <c r="AA13" i="5"/>
  <c r="O13" i="5"/>
  <c r="O16" i="5"/>
  <c r="O17" i="5"/>
  <c r="O18" i="5"/>
  <c r="H11" i="5"/>
  <c r="O11" i="5"/>
  <c r="V11" i="5"/>
  <c r="D12" i="5"/>
  <c r="Z12" i="5"/>
  <c r="H13" i="5"/>
  <c r="P13" i="5"/>
  <c r="G14" i="5"/>
  <c r="P14" i="5"/>
  <c r="G15" i="5"/>
  <c r="P15" i="5"/>
  <c r="G16" i="5"/>
  <c r="P16" i="5"/>
  <c r="G17" i="5"/>
  <c r="P17" i="5"/>
  <c r="G18" i="5"/>
  <c r="P18" i="5"/>
  <c r="D65" i="5"/>
  <c r="F65" i="5"/>
  <c r="J65" i="5"/>
  <c r="N13" i="5"/>
  <c r="S13" i="5"/>
  <c r="X13" i="5"/>
  <c r="D14" i="5"/>
  <c r="I14" i="5"/>
  <c r="N14" i="5"/>
  <c r="S14" i="5"/>
  <c r="X14" i="5"/>
  <c r="D15" i="5"/>
  <c r="I15" i="5"/>
  <c r="N15" i="5"/>
  <c r="S15" i="5"/>
  <c r="X15" i="5"/>
  <c r="D16" i="5"/>
  <c r="I16" i="5"/>
  <c r="N16" i="5"/>
  <c r="S16" i="5"/>
  <c r="X16" i="5"/>
  <c r="D17" i="5"/>
  <c r="I17" i="5"/>
  <c r="N17" i="5"/>
  <c r="S17" i="5"/>
  <c r="X17" i="5"/>
  <c r="D18" i="5"/>
  <c r="I18" i="5"/>
  <c r="N18" i="5"/>
  <c r="S18" i="5"/>
  <c r="X18" i="5"/>
  <c r="R63" i="5"/>
  <c r="N11" i="4"/>
  <c r="F13" i="4"/>
  <c r="D12" i="4"/>
  <c r="K14" i="4"/>
  <c r="G16" i="4"/>
  <c r="F17" i="4"/>
  <c r="W17" i="4"/>
  <c r="Q18" i="4"/>
  <c r="H65" i="4"/>
  <c r="P17" i="4"/>
  <c r="G18" i="4"/>
  <c r="AA18" i="4"/>
  <c r="C12" i="4"/>
  <c r="C39" i="4" s="1"/>
  <c r="C67" i="4" s="1"/>
  <c r="Z18" i="4"/>
  <c r="V11" i="4"/>
  <c r="J15" i="4"/>
  <c r="W16" i="4"/>
  <c r="K12" i="4"/>
  <c r="W11" i="4"/>
  <c r="Z12" i="4"/>
  <c r="V13" i="4"/>
  <c r="T14" i="4"/>
  <c r="J16" i="4"/>
  <c r="W12" i="4"/>
  <c r="F18" i="4"/>
  <c r="Y12" i="4"/>
  <c r="R14" i="4"/>
  <c r="Y15" i="4"/>
  <c r="O11" i="4"/>
  <c r="N13" i="4"/>
  <c r="C15" i="4"/>
  <c r="C42" i="4" s="1"/>
  <c r="C70" i="4" s="1"/>
  <c r="Z15" i="4"/>
  <c r="G17" i="4"/>
  <c r="X11" i="4"/>
  <c r="K18" i="4"/>
  <c r="T18" i="4"/>
  <c r="N65" i="4"/>
  <c r="Q12" i="4"/>
  <c r="Z14" i="4"/>
  <c r="Q16" i="4"/>
  <c r="Q11" i="4"/>
  <c r="O13" i="4"/>
  <c r="C16" i="4"/>
  <c r="C43" i="4" s="1"/>
  <c r="C71" i="4" s="1"/>
  <c r="K16" i="4"/>
  <c r="R16" i="4"/>
  <c r="Z16" i="4"/>
  <c r="Z17" i="4"/>
  <c r="G11" i="4"/>
  <c r="J12" i="4"/>
  <c r="M17" i="4"/>
  <c r="C14" i="4"/>
  <c r="C41" i="4" s="1"/>
  <c r="C69" i="4" s="1"/>
  <c r="Q15" i="4"/>
  <c r="P16" i="4"/>
  <c r="H11" i="4"/>
  <c r="G13" i="4"/>
  <c r="I11" i="4"/>
  <c r="E12" i="4"/>
  <c r="E14" i="4"/>
  <c r="K15" i="4"/>
  <c r="R15" i="4"/>
  <c r="Y16" i="4"/>
  <c r="H13" i="4"/>
  <c r="C11" i="4"/>
  <c r="C38" i="4" s="1"/>
  <c r="C66" i="4" s="1"/>
  <c r="V14" i="4"/>
  <c r="D11" i="4"/>
  <c r="R11" i="4"/>
  <c r="Y11" i="4"/>
  <c r="U12" i="4"/>
  <c r="Q13" i="4"/>
  <c r="K17" i="4"/>
  <c r="R17" i="4"/>
  <c r="C18" i="4"/>
  <c r="C45" i="4" s="1"/>
  <c r="C73" i="4" s="1"/>
  <c r="L18" i="4"/>
  <c r="U18" i="4"/>
  <c r="Q17" i="4"/>
  <c r="F12" i="4"/>
  <c r="I13" i="4"/>
  <c r="M14" i="4"/>
  <c r="L15" i="4"/>
  <c r="S11" i="4"/>
  <c r="O12" i="4"/>
  <c r="C17" i="4"/>
  <c r="C44" i="4" s="1"/>
  <c r="C72" i="4" s="1"/>
  <c r="M13" i="4"/>
  <c r="L14" i="4"/>
  <c r="J65" i="4"/>
  <c r="L12" i="4"/>
  <c r="N12" i="4"/>
  <c r="W13" i="4"/>
  <c r="E15" i="4"/>
  <c r="C13" i="4"/>
  <c r="C40" i="4" s="1"/>
  <c r="C68" i="4" s="1"/>
  <c r="Y13" i="4"/>
  <c r="P14" i="4"/>
  <c r="F15" i="4"/>
  <c r="E16" i="4"/>
  <c r="T16" i="4"/>
  <c r="I12" i="4"/>
  <c r="D13" i="4"/>
  <c r="R13" i="4"/>
  <c r="L17" i="4"/>
  <c r="T17" i="4"/>
  <c r="E18" i="4"/>
  <c r="M18" i="4"/>
  <c r="Y18" i="4"/>
  <c r="T13" i="4"/>
  <c r="Y17" i="4"/>
  <c r="T12" i="4"/>
  <c r="J17" i="4"/>
  <c r="K11" i="4"/>
  <c r="AA12" i="4"/>
  <c r="F14" i="4"/>
  <c r="T15" i="4"/>
  <c r="L11" i="4"/>
  <c r="H12" i="4"/>
  <c r="K13" i="4"/>
  <c r="G14" i="4"/>
  <c r="W14" i="4"/>
  <c r="M15" i="4"/>
  <c r="V15" i="4"/>
  <c r="L16" i="4"/>
  <c r="F11" i="4"/>
  <c r="Z11" i="4"/>
  <c r="V12" i="4"/>
  <c r="M11" i="4"/>
  <c r="T11" i="4"/>
  <c r="P12" i="4"/>
  <c r="L13" i="4"/>
  <c r="S13" i="4"/>
  <c r="Z13" i="4"/>
  <c r="J14" i="4"/>
  <c r="Q14" i="4"/>
  <c r="Y14" i="4"/>
  <c r="G15" i="4"/>
  <c r="P15" i="4"/>
  <c r="W15" i="4"/>
  <c r="F16" i="4"/>
  <c r="M16" i="4"/>
  <c r="V16" i="4"/>
  <c r="E17" i="4"/>
  <c r="V17" i="4"/>
  <c r="G12" i="4"/>
  <c r="R12" i="4"/>
  <c r="J13" i="4"/>
  <c r="H14" i="4"/>
  <c r="O14" i="4"/>
  <c r="AA14" i="4"/>
  <c r="H15" i="4"/>
  <c r="O15" i="4"/>
  <c r="U15" i="4"/>
  <c r="AA15" i="4"/>
  <c r="H16" i="4"/>
  <c r="O16" i="4"/>
  <c r="U16" i="4"/>
  <c r="AA16" i="4"/>
  <c r="H17" i="4"/>
  <c r="O17" i="4"/>
  <c r="U17" i="4"/>
  <c r="AA17" i="4"/>
  <c r="V18" i="4"/>
  <c r="P65" i="4"/>
  <c r="O18" i="4"/>
  <c r="J11" i="4"/>
  <c r="U11" i="4"/>
  <c r="X12" i="4"/>
  <c r="U13" i="4"/>
  <c r="AA13" i="4"/>
  <c r="U14" i="4"/>
  <c r="E11" i="4"/>
  <c r="P11" i="4"/>
  <c r="AA11" i="4"/>
  <c r="M12" i="4"/>
  <c r="S12" i="4"/>
  <c r="E13" i="4"/>
  <c r="P13" i="4"/>
  <c r="J18" i="4"/>
  <c r="P18" i="4"/>
  <c r="D65" i="4"/>
  <c r="F65" i="4"/>
  <c r="H18" i="4"/>
  <c r="R18" i="4"/>
  <c r="W18" i="4"/>
  <c r="L65" i="4"/>
  <c r="X13" i="4"/>
  <c r="D14" i="4"/>
  <c r="I14" i="4"/>
  <c r="N14" i="4"/>
  <c r="S14" i="4"/>
  <c r="X14" i="4"/>
  <c r="D15" i="4"/>
  <c r="I15" i="4"/>
  <c r="N15" i="4"/>
  <c r="S15" i="4"/>
  <c r="X15" i="4"/>
  <c r="D16" i="4"/>
  <c r="I16" i="4"/>
  <c r="N16" i="4"/>
  <c r="S16" i="4"/>
  <c r="X16" i="4"/>
  <c r="D17" i="4"/>
  <c r="I17" i="4"/>
  <c r="N17" i="4"/>
  <c r="S17" i="4"/>
  <c r="X17" i="4"/>
  <c r="D18" i="4"/>
  <c r="I18" i="4"/>
  <c r="N18" i="4"/>
  <c r="S18" i="4"/>
  <c r="X18" i="4"/>
  <c r="R63" i="4"/>
  <c r="H12" i="3"/>
  <c r="V11" i="3"/>
  <c r="M17" i="3"/>
  <c r="U17" i="3"/>
  <c r="S12" i="3"/>
  <c r="M15" i="3"/>
  <c r="U15" i="3"/>
  <c r="E11" i="3"/>
  <c r="K11" i="3"/>
  <c r="J16" i="3"/>
  <c r="D65" i="3"/>
  <c r="E14" i="3"/>
  <c r="E13" i="3"/>
  <c r="U18" i="3"/>
  <c r="Q16" i="3"/>
  <c r="C12" i="3"/>
  <c r="C39" i="3" s="1"/>
  <c r="C67" i="3" s="1"/>
  <c r="N12" i="3"/>
  <c r="Y12" i="3"/>
  <c r="F13" i="3"/>
  <c r="L13" i="3"/>
  <c r="R13" i="3"/>
  <c r="F14" i="3"/>
  <c r="L14" i="3"/>
  <c r="R14" i="3"/>
  <c r="Y14" i="3"/>
  <c r="G15" i="3"/>
  <c r="C16" i="3"/>
  <c r="C43" i="3" s="1"/>
  <c r="C71" i="3" s="1"/>
  <c r="K16" i="3"/>
  <c r="Y16" i="3"/>
  <c r="G17" i="3"/>
  <c r="C18" i="3"/>
  <c r="C45" i="3" s="1"/>
  <c r="C73" i="3" s="1"/>
  <c r="L18" i="3"/>
  <c r="L11" i="3"/>
  <c r="W11" i="3"/>
  <c r="I12" i="3"/>
  <c r="T12" i="3"/>
  <c r="Z12" i="3"/>
  <c r="Y13" i="3"/>
  <c r="Z14" i="3"/>
  <c r="O15" i="3"/>
  <c r="V15" i="3"/>
  <c r="R16" i="3"/>
  <c r="Z16" i="3"/>
  <c r="O17" i="3"/>
  <c r="V17" i="3"/>
  <c r="V18" i="3"/>
  <c r="H65" i="3"/>
  <c r="G13" i="3"/>
  <c r="M14" i="3"/>
  <c r="T13" i="3"/>
  <c r="T16" i="3"/>
  <c r="W17" i="3"/>
  <c r="F18" i="3"/>
  <c r="O18" i="3"/>
  <c r="J65" i="3"/>
  <c r="H11" i="3"/>
  <c r="S11" i="3"/>
  <c r="E12" i="3"/>
  <c r="K12" i="3"/>
  <c r="V12" i="3"/>
  <c r="H13" i="3"/>
  <c r="U13" i="3"/>
  <c r="AA13" i="3"/>
  <c r="H14" i="3"/>
  <c r="U14" i="3"/>
  <c r="J15" i="3"/>
  <c r="Q15" i="3"/>
  <c r="M16" i="3"/>
  <c r="U16" i="3"/>
  <c r="J17" i="3"/>
  <c r="Q17" i="3"/>
  <c r="P18" i="3"/>
  <c r="Z18" i="3"/>
  <c r="N65" i="3"/>
  <c r="Q11" i="3"/>
  <c r="U12" i="3"/>
  <c r="G14" i="3"/>
  <c r="E16" i="3"/>
  <c r="J12" i="3"/>
  <c r="F16" i="3"/>
  <c r="C17" i="3"/>
  <c r="C44" i="3" s="1"/>
  <c r="C72" i="3" s="1"/>
  <c r="K17" i="3"/>
  <c r="Y17" i="3"/>
  <c r="G18" i="3"/>
  <c r="G11" i="3"/>
  <c r="O12" i="3"/>
  <c r="Z13" i="3"/>
  <c r="L16" i="3"/>
  <c r="E18" i="3"/>
  <c r="M11" i="3"/>
  <c r="P12" i="3"/>
  <c r="AA14" i="3"/>
  <c r="C13" i="3"/>
  <c r="C40" i="3" s="1"/>
  <c r="C68" i="3" s="1"/>
  <c r="O14" i="3"/>
  <c r="K15" i="3"/>
  <c r="I11" i="3"/>
  <c r="T11" i="3"/>
  <c r="Z11" i="3"/>
  <c r="L12" i="3"/>
  <c r="W12" i="3"/>
  <c r="P13" i="3"/>
  <c r="V13" i="3"/>
  <c r="P14" i="3"/>
  <c r="Z15" i="3"/>
  <c r="V16" i="3"/>
  <c r="Q18" i="3"/>
  <c r="F11" i="3"/>
  <c r="R11" i="3"/>
  <c r="P15" i="3"/>
  <c r="P17" i="3"/>
  <c r="X11" i="3"/>
  <c r="T14" i="3"/>
  <c r="AA16" i="3"/>
  <c r="C11" i="3"/>
  <c r="C38" i="3" s="1"/>
  <c r="C66" i="3" s="1"/>
  <c r="N11" i="3"/>
  <c r="Y11" i="3"/>
  <c r="F12" i="3"/>
  <c r="Q12" i="3"/>
  <c r="O13" i="3"/>
  <c r="Y15" i="3"/>
  <c r="C14" i="3"/>
  <c r="C41" i="3" s="1"/>
  <c r="C69" i="3" s="1"/>
  <c r="V14" i="3"/>
  <c r="R15" i="3"/>
  <c r="O16" i="3"/>
  <c r="R17" i="3"/>
  <c r="Z17" i="3"/>
  <c r="AA18" i="3"/>
  <c r="D11" i="3"/>
  <c r="O11" i="3"/>
  <c r="U11" i="3"/>
  <c r="G12" i="3"/>
  <c r="R12" i="3"/>
  <c r="D13" i="3"/>
  <c r="J13" i="3"/>
  <c r="J14" i="3"/>
  <c r="E15" i="3"/>
  <c r="L15" i="3"/>
  <c r="H16" i="3"/>
  <c r="P16" i="3"/>
  <c r="E17" i="3"/>
  <c r="L17" i="3"/>
  <c r="D12" i="3"/>
  <c r="M13" i="3"/>
  <c r="H15" i="3"/>
  <c r="H17" i="3"/>
  <c r="AA12" i="3"/>
  <c r="W15" i="3"/>
  <c r="C15" i="3"/>
  <c r="C42" i="3" s="1"/>
  <c r="C70" i="3" s="1"/>
  <c r="G16" i="3"/>
  <c r="J11" i="3"/>
  <c r="P11" i="3"/>
  <c r="AA11" i="3"/>
  <c r="M12" i="3"/>
  <c r="X12" i="3"/>
  <c r="K13" i="3"/>
  <c r="Q13" i="3"/>
  <c r="W13" i="3"/>
  <c r="K14" i="3"/>
  <c r="Q14" i="3"/>
  <c r="W14" i="3"/>
  <c r="F15" i="3"/>
  <c r="T15" i="3"/>
  <c r="AA15" i="3"/>
  <c r="W16" i="3"/>
  <c r="F17" i="3"/>
  <c r="T17" i="3"/>
  <c r="AA17" i="3"/>
  <c r="K18" i="3"/>
  <c r="J18" i="3"/>
  <c r="T18" i="3"/>
  <c r="Y18" i="3"/>
  <c r="F65" i="3"/>
  <c r="H18" i="3"/>
  <c r="M18" i="3"/>
  <c r="R18" i="3"/>
  <c r="W18" i="3"/>
  <c r="L65" i="3"/>
  <c r="I13" i="3"/>
  <c r="N13" i="3"/>
  <c r="S13" i="3"/>
  <c r="X13" i="3"/>
  <c r="D14" i="3"/>
  <c r="I14" i="3"/>
  <c r="N14" i="3"/>
  <c r="S14" i="3"/>
  <c r="X14" i="3"/>
  <c r="D15" i="3"/>
  <c r="I15" i="3"/>
  <c r="N15" i="3"/>
  <c r="S15" i="3"/>
  <c r="X15" i="3"/>
  <c r="D16" i="3"/>
  <c r="I16" i="3"/>
  <c r="N16" i="3"/>
  <c r="S16" i="3"/>
  <c r="X16" i="3"/>
  <c r="D17" i="3"/>
  <c r="I17" i="3"/>
  <c r="N17" i="3"/>
  <c r="S17" i="3"/>
  <c r="X17" i="3"/>
  <c r="D18" i="3"/>
  <c r="I18" i="3"/>
  <c r="N18" i="3"/>
  <c r="S18" i="3"/>
  <c r="X18" i="3"/>
  <c r="P63" i="3"/>
  <c r="N65" i="2"/>
  <c r="J65" i="2"/>
  <c r="H65" i="2"/>
  <c r="R65" i="2"/>
  <c r="L65" i="2"/>
  <c r="P65" i="2"/>
  <c r="F65" i="2"/>
  <c r="D65" i="2"/>
  <c r="W17" i="2"/>
  <c r="AA15" i="2"/>
  <c r="X14" i="2"/>
  <c r="S14" i="2"/>
  <c r="Z13" i="2"/>
  <c r="U13" i="2"/>
  <c r="P13" i="2"/>
  <c r="W12" i="2"/>
  <c r="R12" i="2"/>
  <c r="Y11" i="2"/>
  <c r="T11" i="2"/>
  <c r="S11" i="2"/>
  <c r="R11" i="2"/>
  <c r="Z18" i="2"/>
  <c r="R17" i="2"/>
  <c r="AA11" i="2"/>
  <c r="V11" i="2"/>
  <c r="Q11" i="2"/>
  <c r="U18" i="2"/>
  <c r="Y16" i="2"/>
  <c r="V15" i="2"/>
  <c r="Y18" i="2"/>
  <c r="AA17" i="2"/>
  <c r="Q17" i="2"/>
  <c r="S16" i="2"/>
  <c r="U15" i="2"/>
  <c r="W14" i="2"/>
  <c r="Y13" i="2"/>
  <c r="AA12" i="2"/>
  <c r="Q12" i="2"/>
  <c r="S18" i="2"/>
  <c r="U17" i="2"/>
  <c r="W16" i="2"/>
  <c r="Y15" i="2"/>
  <c r="AA14" i="2"/>
  <c r="Q14" i="2"/>
  <c r="X13" i="2"/>
  <c r="Z12" i="2"/>
  <c r="P12" i="2"/>
  <c r="R18" i="2"/>
  <c r="T17" i="2"/>
  <c r="AA16" i="2"/>
  <c r="V16" i="2"/>
  <c r="Q16" i="2"/>
  <c r="X15" i="2"/>
  <c r="S15" i="2"/>
  <c r="Z14" i="2"/>
  <c r="U14" i="2"/>
  <c r="P14" i="2"/>
  <c r="W13" i="2"/>
  <c r="R13" i="2"/>
  <c r="Y12" i="2"/>
  <c r="T12" i="2"/>
  <c r="P18" i="2"/>
  <c r="T16" i="2"/>
  <c r="Q15" i="2"/>
  <c r="T18" i="2"/>
  <c r="V17" i="2"/>
  <c r="X16" i="2"/>
  <c r="Z15" i="2"/>
  <c r="P15" i="2"/>
  <c r="R14" i="2"/>
  <c r="T13" i="2"/>
  <c r="V12" i="2"/>
  <c r="X11" i="2"/>
  <c r="X18" i="2"/>
  <c r="Z17" i="2"/>
  <c r="P17" i="2"/>
  <c r="R16" i="2"/>
  <c r="T15" i="2"/>
  <c r="V14" i="2"/>
  <c r="S13" i="2"/>
  <c r="U12" i="2"/>
  <c r="W11" i="2"/>
  <c r="W18" i="2"/>
  <c r="Y17" i="2"/>
  <c r="AA18" i="2"/>
  <c r="V18" i="2"/>
  <c r="Q18" i="2"/>
  <c r="X17" i="2"/>
  <c r="S17" i="2"/>
  <c r="Z16" i="2"/>
  <c r="U16" i="2"/>
  <c r="P16" i="2"/>
  <c r="W15" i="2"/>
  <c r="R15" i="2"/>
  <c r="Y14" i="2"/>
  <c r="T14" i="2"/>
  <c r="AA13" i="2"/>
  <c r="V13" i="2"/>
  <c r="Q13" i="2"/>
  <c r="X12" i="2"/>
  <c r="S12" i="2"/>
  <c r="Z11" i="2"/>
  <c r="U11" i="2"/>
  <c r="P11" i="2"/>
  <c r="L13" i="2"/>
  <c r="J15" i="2"/>
  <c r="E15" i="2"/>
  <c r="G18" i="2"/>
  <c r="O15" i="2"/>
  <c r="M17" i="2"/>
  <c r="G13" i="2"/>
  <c r="H17" i="2"/>
  <c r="M12" i="2"/>
  <c r="N16" i="2"/>
  <c r="K14" i="2"/>
  <c r="H12" i="2"/>
  <c r="L18" i="2"/>
  <c r="I16" i="2"/>
  <c r="F14" i="2"/>
  <c r="N11" i="2"/>
  <c r="I11" i="2"/>
  <c r="H11" i="2"/>
  <c r="G11" i="2"/>
  <c r="K18" i="2"/>
  <c r="G17" i="2"/>
  <c r="N15" i="2"/>
  <c r="J14" i="2"/>
  <c r="F13" i="2"/>
  <c r="M11" i="2"/>
  <c r="J18" i="2"/>
  <c r="F17" i="2"/>
  <c r="M15" i="2"/>
  <c r="I14" i="2"/>
  <c r="E13" i="2"/>
  <c r="L11" i="2"/>
  <c r="N18" i="2"/>
  <c r="O17" i="2"/>
  <c r="J17" i="2"/>
  <c r="K16" i="2"/>
  <c r="F16" i="2"/>
  <c r="L15" i="2"/>
  <c r="G15" i="2"/>
  <c r="M14" i="2"/>
  <c r="H14" i="2"/>
  <c r="N13" i="2"/>
  <c r="O12" i="2"/>
  <c r="J12" i="2"/>
  <c r="E12" i="2"/>
  <c r="K11" i="2"/>
  <c r="F11" i="2"/>
  <c r="F18" i="2"/>
  <c r="M16" i="2"/>
  <c r="I15" i="2"/>
  <c r="E14" i="2"/>
  <c r="G12" i="2"/>
  <c r="O18" i="2"/>
  <c r="K17" i="2"/>
  <c r="G16" i="2"/>
  <c r="N14" i="2"/>
  <c r="O13" i="2"/>
  <c r="F12" i="2"/>
  <c r="I18" i="2"/>
  <c r="E17" i="2"/>
  <c r="I13" i="2"/>
  <c r="L17" i="2"/>
  <c r="H16" i="2"/>
  <c r="O14" i="2"/>
  <c r="K13" i="2"/>
  <c r="L12" i="2"/>
  <c r="E18" i="2"/>
  <c r="L16" i="2"/>
  <c r="H15" i="2"/>
  <c r="J13" i="2"/>
  <c r="K12" i="2"/>
  <c r="M18" i="2"/>
  <c r="H18" i="2"/>
  <c r="N17" i="2"/>
  <c r="I17" i="2"/>
  <c r="O16" i="2"/>
  <c r="J16" i="2"/>
  <c r="E16" i="2"/>
  <c r="K15" i="2"/>
  <c r="F15" i="2"/>
  <c r="L14" i="2"/>
  <c r="G14" i="2"/>
  <c r="M13" i="2"/>
  <c r="H13" i="2"/>
  <c r="N12" i="2"/>
  <c r="I12" i="2"/>
  <c r="O11" i="2"/>
  <c r="J11" i="2"/>
  <c r="E11" i="2"/>
  <c r="D16" i="2"/>
  <c r="D15" i="2"/>
  <c r="D14" i="2"/>
  <c r="D13" i="2"/>
  <c r="D17" i="2"/>
  <c r="D18" i="2"/>
  <c r="D12" i="2"/>
  <c r="D11" i="2"/>
  <c r="C11" i="2"/>
  <c r="C16" i="2"/>
  <c r="C15" i="2"/>
  <c r="C14" i="2"/>
  <c r="C13" i="2"/>
  <c r="C18" i="2"/>
  <c r="C17" i="2"/>
  <c r="C12" i="2"/>
  <c r="R65" i="9" a="1"/>
  <c r="P65" i="9" a="1"/>
  <c r="P65" i="8" a="1"/>
  <c r="N65" i="5" a="1"/>
  <c r="P65" i="5" a="1"/>
  <c r="P65" i="9" l="1"/>
  <c r="R65" i="9"/>
  <c r="F58" i="9"/>
  <c r="E58" i="9"/>
  <c r="D58" i="9"/>
  <c r="E56" i="9"/>
  <c r="D56" i="9"/>
  <c r="F56" i="9"/>
  <c r="W60" i="9"/>
  <c r="X60" i="9"/>
  <c r="V60" i="9"/>
  <c r="L60" i="9"/>
  <c r="K60" i="9"/>
  <c r="J60" i="9"/>
  <c r="W56" i="9"/>
  <c r="V56" i="9"/>
  <c r="X56" i="9"/>
  <c r="AA61" i="9"/>
  <c r="Z61" i="9"/>
  <c r="Y61" i="9"/>
  <c r="AA57" i="9"/>
  <c r="Z57" i="9"/>
  <c r="Y57" i="9"/>
  <c r="Y53" i="9"/>
  <c r="AA53" i="9"/>
  <c r="Z53" i="9"/>
  <c r="K59" i="9"/>
  <c r="J59" i="9"/>
  <c r="L59" i="9"/>
  <c r="P54" i="9"/>
  <c r="R54" i="9"/>
  <c r="Q54" i="9"/>
  <c r="AA50" i="9"/>
  <c r="Z50" i="9"/>
  <c r="Y50" i="9"/>
  <c r="Y46" i="9"/>
  <c r="AA46" i="9"/>
  <c r="Z46" i="9"/>
  <c r="Z40" i="9"/>
  <c r="AA40" i="9"/>
  <c r="Y40" i="9"/>
  <c r="X39" i="9"/>
  <c r="W39" i="9"/>
  <c r="V39" i="9"/>
  <c r="G39" i="9"/>
  <c r="I39" i="9"/>
  <c r="H39" i="9"/>
  <c r="X40" i="9"/>
  <c r="W40" i="9"/>
  <c r="V40" i="9"/>
  <c r="V59" i="9"/>
  <c r="X59" i="9"/>
  <c r="W59" i="9"/>
  <c r="R60" i="9"/>
  <c r="Q60" i="9"/>
  <c r="P60" i="9"/>
  <c r="W58" i="9"/>
  <c r="X58" i="9"/>
  <c r="V58" i="9"/>
  <c r="J53" i="9"/>
  <c r="L53" i="9"/>
  <c r="K53" i="9"/>
  <c r="J49" i="9"/>
  <c r="K49" i="9"/>
  <c r="L49" i="9"/>
  <c r="L45" i="9"/>
  <c r="K45" i="9"/>
  <c r="J45" i="9"/>
  <c r="L41" i="9"/>
  <c r="J41" i="9"/>
  <c r="K41" i="9"/>
  <c r="AA51" i="9"/>
  <c r="Y51" i="9"/>
  <c r="Z51" i="9"/>
  <c r="AA47" i="9"/>
  <c r="Z47" i="9"/>
  <c r="Y47" i="9"/>
  <c r="T53" i="9"/>
  <c r="U53" i="9"/>
  <c r="S53" i="9"/>
  <c r="U49" i="9"/>
  <c r="T49" i="9"/>
  <c r="S49" i="9"/>
  <c r="U45" i="9"/>
  <c r="T45" i="9"/>
  <c r="S45" i="9"/>
  <c r="L50" i="9"/>
  <c r="K50" i="9"/>
  <c r="J50" i="9"/>
  <c r="K46" i="9"/>
  <c r="J46" i="9"/>
  <c r="L46" i="9"/>
  <c r="Y58" i="9"/>
  <c r="AA58" i="9"/>
  <c r="Z58" i="9"/>
  <c r="J54" i="9"/>
  <c r="L54" i="9"/>
  <c r="K54" i="9"/>
  <c r="D40" i="9"/>
  <c r="F40" i="9"/>
  <c r="E40" i="9"/>
  <c r="Y56" i="9"/>
  <c r="AA56" i="9"/>
  <c r="Z56" i="9"/>
  <c r="K42" i="9"/>
  <c r="J42" i="9"/>
  <c r="L42" i="9"/>
  <c r="F44" i="9"/>
  <c r="E44" i="9"/>
  <c r="D44" i="9"/>
  <c r="U57" i="9"/>
  <c r="S57" i="9"/>
  <c r="T57" i="9"/>
  <c r="T55" i="9"/>
  <c r="U55" i="9"/>
  <c r="S55" i="9"/>
  <c r="O59" i="9"/>
  <c r="N59" i="9"/>
  <c r="M59" i="9"/>
  <c r="E39" i="9"/>
  <c r="D39" i="9"/>
  <c r="F39" i="9"/>
  <c r="E53" i="9"/>
  <c r="D53" i="9"/>
  <c r="F53" i="9"/>
  <c r="D49" i="9"/>
  <c r="F49" i="9"/>
  <c r="E49" i="9"/>
  <c r="F45" i="9"/>
  <c r="E45" i="9"/>
  <c r="D45" i="9"/>
  <c r="E41" i="9"/>
  <c r="F41" i="9"/>
  <c r="D41" i="9"/>
  <c r="J55" i="9"/>
  <c r="L55" i="9"/>
  <c r="K55" i="9"/>
  <c r="E54" i="9"/>
  <c r="F54" i="9"/>
  <c r="D54" i="9"/>
  <c r="D48" i="9"/>
  <c r="F48" i="9"/>
  <c r="E48" i="9"/>
  <c r="O41" i="9"/>
  <c r="N41" i="9"/>
  <c r="M41" i="9"/>
  <c r="X53" i="9"/>
  <c r="V53" i="9"/>
  <c r="W53" i="9"/>
  <c r="R56" i="9"/>
  <c r="Q56" i="9"/>
  <c r="P56" i="9"/>
  <c r="T39" i="9"/>
  <c r="U39" i="9"/>
  <c r="S39" i="9"/>
  <c r="U59" i="9"/>
  <c r="T59" i="9"/>
  <c r="S59" i="9"/>
  <c r="O57" i="9"/>
  <c r="N57" i="9"/>
  <c r="M57" i="9"/>
  <c r="O52" i="9"/>
  <c r="N52" i="9"/>
  <c r="M52" i="9"/>
  <c r="M48" i="9"/>
  <c r="O48" i="9"/>
  <c r="N48" i="9"/>
  <c r="M44" i="9"/>
  <c r="O44" i="9"/>
  <c r="N44" i="9"/>
  <c r="O40" i="9"/>
  <c r="M40" i="9"/>
  <c r="N40" i="9"/>
  <c r="R57" i="9"/>
  <c r="P57" i="9"/>
  <c r="Q57" i="9"/>
  <c r="K61" i="9"/>
  <c r="L61" i="9"/>
  <c r="J61" i="9"/>
  <c r="P55" i="9"/>
  <c r="R55" i="9"/>
  <c r="Q55" i="9"/>
  <c r="O53" i="9"/>
  <c r="N53" i="9"/>
  <c r="M53" i="9"/>
  <c r="N49" i="9"/>
  <c r="O49" i="9"/>
  <c r="M49" i="9"/>
  <c r="O45" i="9"/>
  <c r="N45" i="9"/>
  <c r="M45" i="9"/>
  <c r="X49" i="9"/>
  <c r="W49" i="9"/>
  <c r="V49" i="9"/>
  <c r="U46" i="9"/>
  <c r="T46" i="9"/>
  <c r="S46" i="9"/>
  <c r="O39" i="9"/>
  <c r="N39" i="9"/>
  <c r="M39" i="9"/>
  <c r="I41" i="9"/>
  <c r="H41" i="9"/>
  <c r="G41" i="9"/>
  <c r="Q51" i="9"/>
  <c r="P51" i="9"/>
  <c r="R51" i="9"/>
  <c r="H60" i="9"/>
  <c r="G60" i="9"/>
  <c r="I60" i="9"/>
  <c r="F46" i="9"/>
  <c r="E46" i="9"/>
  <c r="D46" i="9"/>
  <c r="P47" i="9"/>
  <c r="Q47" i="9"/>
  <c r="R47" i="9"/>
  <c r="I43" i="9"/>
  <c r="H43" i="9"/>
  <c r="G43" i="9"/>
  <c r="R38" i="9"/>
  <c r="Q38" i="9"/>
  <c r="P38" i="9"/>
  <c r="H61" i="9"/>
  <c r="G61" i="9"/>
  <c r="I61" i="9"/>
  <c r="H58" i="9"/>
  <c r="I58" i="9"/>
  <c r="G58" i="9"/>
  <c r="I52" i="9"/>
  <c r="H52" i="9"/>
  <c r="G52" i="9"/>
  <c r="I48" i="9"/>
  <c r="H48" i="9"/>
  <c r="G48" i="9"/>
  <c r="I44" i="9"/>
  <c r="H44" i="9"/>
  <c r="G44" i="9"/>
  <c r="I40" i="9"/>
  <c r="H40" i="9"/>
  <c r="G40" i="9"/>
  <c r="H57" i="9"/>
  <c r="I57" i="9"/>
  <c r="G57" i="9"/>
  <c r="X50" i="9"/>
  <c r="W50" i="9"/>
  <c r="V50" i="9"/>
  <c r="X46" i="9"/>
  <c r="W46" i="9"/>
  <c r="V46" i="9"/>
  <c r="O56" i="9"/>
  <c r="N56" i="9"/>
  <c r="M56" i="9"/>
  <c r="R52" i="9"/>
  <c r="Q52" i="9"/>
  <c r="P52" i="9"/>
  <c r="R48" i="9"/>
  <c r="Q48" i="9"/>
  <c r="P48" i="9"/>
  <c r="H53" i="9"/>
  <c r="G53" i="9"/>
  <c r="I53" i="9"/>
  <c r="I49" i="9"/>
  <c r="H49" i="9"/>
  <c r="G49" i="9"/>
  <c r="I45" i="9"/>
  <c r="H45" i="9"/>
  <c r="G45" i="9"/>
  <c r="S60" i="9"/>
  <c r="T60" i="9"/>
  <c r="U60" i="9"/>
  <c r="T38" i="9"/>
  <c r="U38" i="9"/>
  <c r="S38" i="9"/>
  <c r="T40" i="9"/>
  <c r="U40" i="9"/>
  <c r="S40" i="9"/>
  <c r="X45" i="9"/>
  <c r="W45" i="9"/>
  <c r="V45" i="9"/>
  <c r="S48" i="9"/>
  <c r="U48" i="9"/>
  <c r="T48" i="9"/>
  <c r="E52" i="9"/>
  <c r="D52" i="9"/>
  <c r="F52" i="9"/>
  <c r="U44" i="9"/>
  <c r="T44" i="9"/>
  <c r="S44" i="9"/>
  <c r="T52" i="9"/>
  <c r="S52" i="9"/>
  <c r="U52" i="9"/>
  <c r="U42" i="9"/>
  <c r="T42" i="9"/>
  <c r="S42" i="9"/>
  <c r="E59" i="9"/>
  <c r="F59" i="9"/>
  <c r="D59" i="9"/>
  <c r="E57" i="9"/>
  <c r="D57" i="9"/>
  <c r="F57" i="9"/>
  <c r="E55" i="9"/>
  <c r="D55" i="9"/>
  <c r="F55" i="9"/>
  <c r="AA60" i="9"/>
  <c r="Y60" i="9"/>
  <c r="Z60" i="9"/>
  <c r="M60" i="9"/>
  <c r="N60" i="9"/>
  <c r="O60" i="9"/>
  <c r="AA59" i="9"/>
  <c r="Z59" i="9"/>
  <c r="Y59" i="9"/>
  <c r="K57" i="9"/>
  <c r="L57" i="9"/>
  <c r="J57" i="9"/>
  <c r="Y52" i="9"/>
  <c r="AA52" i="9"/>
  <c r="Z52" i="9"/>
  <c r="AA48" i="9"/>
  <c r="Z48" i="9"/>
  <c r="Y48" i="9"/>
  <c r="J38" i="9"/>
  <c r="L38" i="9"/>
  <c r="K38" i="9"/>
  <c r="R49" i="9"/>
  <c r="Q49" i="9"/>
  <c r="P49" i="9"/>
  <c r="U41" i="9"/>
  <c r="T41" i="9"/>
  <c r="S41" i="9"/>
  <c r="Z43" i="9"/>
  <c r="Y43" i="9"/>
  <c r="AA43" i="9"/>
  <c r="R61" i="9"/>
  <c r="P61" i="9"/>
  <c r="Q61" i="9"/>
  <c r="Y44" i="9"/>
  <c r="AA44" i="9"/>
  <c r="Z44" i="9"/>
  <c r="Y39" i="9"/>
  <c r="AA39" i="9"/>
  <c r="Z39" i="9"/>
  <c r="V57" i="9"/>
  <c r="X57" i="9"/>
  <c r="W57" i="9"/>
  <c r="X54" i="9"/>
  <c r="W54" i="9"/>
  <c r="V54" i="9"/>
  <c r="J51" i="9"/>
  <c r="L51" i="9"/>
  <c r="K51" i="9"/>
  <c r="L47" i="9"/>
  <c r="K47" i="9"/>
  <c r="J47" i="9"/>
  <c r="L43" i="9"/>
  <c r="K43" i="9"/>
  <c r="J43" i="9"/>
  <c r="L39" i="9"/>
  <c r="K39" i="9"/>
  <c r="J39" i="9"/>
  <c r="I56" i="9"/>
  <c r="H56" i="9"/>
  <c r="G56" i="9"/>
  <c r="X61" i="9"/>
  <c r="V61" i="9"/>
  <c r="W61" i="9"/>
  <c r="I54" i="9"/>
  <c r="H54" i="9"/>
  <c r="G54" i="9"/>
  <c r="Z49" i="9"/>
  <c r="Y49" i="9"/>
  <c r="AA49" i="9"/>
  <c r="Z45" i="9"/>
  <c r="Y45" i="9"/>
  <c r="AA45" i="9"/>
  <c r="T51" i="9"/>
  <c r="U51" i="9"/>
  <c r="S51" i="9"/>
  <c r="U47" i="9"/>
  <c r="T47" i="9"/>
  <c r="S47" i="9"/>
  <c r="J52" i="9"/>
  <c r="L52" i="9"/>
  <c r="K52" i="9"/>
  <c r="L48" i="9"/>
  <c r="K48" i="9"/>
  <c r="J48" i="9"/>
  <c r="K44" i="9"/>
  <c r="J44" i="9"/>
  <c r="L44" i="9"/>
  <c r="Y42" i="9"/>
  <c r="AA42" i="9"/>
  <c r="Z42" i="9"/>
  <c r="P53" i="9"/>
  <c r="Q53" i="9"/>
  <c r="R53" i="9"/>
  <c r="U43" i="9"/>
  <c r="T43" i="9"/>
  <c r="S43" i="9"/>
  <c r="X42" i="9"/>
  <c r="W42" i="9"/>
  <c r="V42" i="9"/>
  <c r="R44" i="9"/>
  <c r="Q44" i="9"/>
  <c r="P44" i="9"/>
  <c r="G55" i="9"/>
  <c r="H55" i="9"/>
  <c r="I55" i="9"/>
  <c r="S58" i="9"/>
  <c r="T58" i="9"/>
  <c r="U58" i="9"/>
  <c r="T56" i="9"/>
  <c r="S56" i="9"/>
  <c r="U56" i="9"/>
  <c r="T54" i="9"/>
  <c r="S54" i="9"/>
  <c r="U54" i="9"/>
  <c r="O61" i="9"/>
  <c r="M61" i="9"/>
  <c r="N61" i="9"/>
  <c r="F60" i="9"/>
  <c r="E60" i="9"/>
  <c r="D60" i="9"/>
  <c r="Y55" i="9"/>
  <c r="AA55" i="9"/>
  <c r="Z55" i="9"/>
  <c r="D51" i="9"/>
  <c r="E51" i="9"/>
  <c r="F51" i="9"/>
  <c r="F47" i="9"/>
  <c r="E47" i="9"/>
  <c r="D47" i="9"/>
  <c r="F43" i="9"/>
  <c r="E43" i="9"/>
  <c r="D43" i="9"/>
  <c r="R59" i="9"/>
  <c r="P59" i="9"/>
  <c r="Q59" i="9"/>
  <c r="Y54" i="9"/>
  <c r="Z54" i="9"/>
  <c r="AA54" i="9"/>
  <c r="F50" i="9"/>
  <c r="E50" i="9"/>
  <c r="D50" i="9"/>
  <c r="R39" i="9"/>
  <c r="P39" i="9"/>
  <c r="Q39" i="9"/>
  <c r="P58" i="9"/>
  <c r="R58" i="9"/>
  <c r="Q58" i="9"/>
  <c r="Z41" i="9"/>
  <c r="Y41" i="9"/>
  <c r="AA41" i="9"/>
  <c r="AA38" i="9"/>
  <c r="Z38" i="9"/>
  <c r="Y38" i="9"/>
  <c r="P45" i="9"/>
  <c r="R45" i="9"/>
  <c r="Q45" i="9"/>
  <c r="P41" i="9"/>
  <c r="R41" i="9"/>
  <c r="Q41" i="9"/>
  <c r="F38" i="9"/>
  <c r="E38" i="9"/>
  <c r="D38" i="9"/>
  <c r="U61" i="9"/>
  <c r="T61" i="9"/>
  <c r="S61" i="9"/>
  <c r="M58" i="9"/>
  <c r="N58" i="9"/>
  <c r="O58" i="9"/>
  <c r="O50" i="9"/>
  <c r="N50" i="9"/>
  <c r="M50" i="9"/>
  <c r="M46" i="9"/>
  <c r="N46" i="9"/>
  <c r="O46" i="9"/>
  <c r="M42" i="9"/>
  <c r="O42" i="9"/>
  <c r="N42" i="9"/>
  <c r="O38" i="9"/>
  <c r="N38" i="9"/>
  <c r="M38" i="9"/>
  <c r="O54" i="9"/>
  <c r="M54" i="9"/>
  <c r="N54" i="9"/>
  <c r="N51" i="9"/>
  <c r="O51" i="9"/>
  <c r="M51" i="9"/>
  <c r="O47" i="9"/>
  <c r="N47" i="9"/>
  <c r="M47" i="9"/>
  <c r="X51" i="9"/>
  <c r="W51" i="9"/>
  <c r="V51" i="9"/>
  <c r="X47" i="9"/>
  <c r="W47" i="9"/>
  <c r="V47" i="9"/>
  <c r="F42" i="9"/>
  <c r="E42" i="9"/>
  <c r="D42" i="9"/>
  <c r="R42" i="9"/>
  <c r="Q42" i="9"/>
  <c r="P42" i="9"/>
  <c r="P43" i="9"/>
  <c r="R43" i="9"/>
  <c r="Q43" i="9"/>
  <c r="J56" i="9"/>
  <c r="L56" i="9"/>
  <c r="K56" i="9"/>
  <c r="X43" i="9"/>
  <c r="W43" i="9"/>
  <c r="V43" i="9"/>
  <c r="W38" i="9"/>
  <c r="X38" i="9"/>
  <c r="V38" i="9"/>
  <c r="H59" i="9"/>
  <c r="G59" i="9"/>
  <c r="I59" i="9"/>
  <c r="I50" i="9"/>
  <c r="G50" i="9"/>
  <c r="H50" i="9"/>
  <c r="I46" i="9"/>
  <c r="H46" i="9"/>
  <c r="G46" i="9"/>
  <c r="I42" i="9"/>
  <c r="H42" i="9"/>
  <c r="G42" i="9"/>
  <c r="I38" i="9"/>
  <c r="G38" i="9"/>
  <c r="H38" i="9"/>
  <c r="L58" i="9"/>
  <c r="K58" i="9"/>
  <c r="J58" i="9"/>
  <c r="V52" i="9"/>
  <c r="X52" i="9"/>
  <c r="W52" i="9"/>
  <c r="X48" i="9"/>
  <c r="W48" i="9"/>
  <c r="V48" i="9"/>
  <c r="X44" i="9"/>
  <c r="W44" i="9"/>
  <c r="V44" i="9"/>
  <c r="R50" i="9"/>
  <c r="Q50" i="9"/>
  <c r="P50" i="9"/>
  <c r="R46" i="9"/>
  <c r="Q46" i="9"/>
  <c r="P46" i="9"/>
  <c r="X55" i="9"/>
  <c r="W55" i="9"/>
  <c r="V55" i="9"/>
  <c r="H51" i="9"/>
  <c r="G51" i="9"/>
  <c r="I51" i="9"/>
  <c r="I47" i="9"/>
  <c r="H47" i="9"/>
  <c r="G47" i="9"/>
  <c r="O55" i="9"/>
  <c r="N55" i="9"/>
  <c r="M55" i="9"/>
  <c r="X41" i="9"/>
  <c r="V41" i="9"/>
  <c r="W41" i="9"/>
  <c r="Q40" i="9"/>
  <c r="P40" i="9"/>
  <c r="R40" i="9"/>
  <c r="E61" i="9"/>
  <c r="D61" i="9"/>
  <c r="F61" i="9"/>
  <c r="O43" i="9"/>
  <c r="N43" i="9"/>
  <c r="M43" i="9"/>
  <c r="J40" i="9"/>
  <c r="L40" i="9"/>
  <c r="K40" i="9"/>
  <c r="S50" i="9"/>
  <c r="U50" i="9"/>
  <c r="T50" i="9"/>
  <c r="P65" i="8"/>
  <c r="U60" i="8"/>
  <c r="T60" i="8"/>
  <c r="S60" i="8"/>
  <c r="S58" i="8"/>
  <c r="U58" i="8"/>
  <c r="T58" i="8"/>
  <c r="U56" i="8"/>
  <c r="T56" i="8"/>
  <c r="S56" i="8"/>
  <c r="U54" i="8"/>
  <c r="T54" i="8"/>
  <c r="S54" i="8"/>
  <c r="U52" i="8"/>
  <c r="T52" i="8"/>
  <c r="S52" i="8"/>
  <c r="O59" i="8"/>
  <c r="N59" i="8"/>
  <c r="M59" i="8"/>
  <c r="L40" i="8"/>
  <c r="K40" i="8"/>
  <c r="J40" i="8"/>
  <c r="X53" i="8"/>
  <c r="W53" i="8"/>
  <c r="V53" i="8"/>
  <c r="T49" i="8"/>
  <c r="U49" i="8"/>
  <c r="S49" i="8"/>
  <c r="R59" i="8"/>
  <c r="P59" i="8"/>
  <c r="Q59" i="8"/>
  <c r="L48" i="8"/>
  <c r="K48" i="8"/>
  <c r="J48" i="8"/>
  <c r="I56" i="8"/>
  <c r="H56" i="8"/>
  <c r="G56" i="8"/>
  <c r="O38" i="8"/>
  <c r="N38" i="8"/>
  <c r="M38" i="8"/>
  <c r="X40" i="8"/>
  <c r="W40" i="8"/>
  <c r="V40" i="8"/>
  <c r="H44" i="8"/>
  <c r="G44" i="8"/>
  <c r="I44" i="8"/>
  <c r="E50" i="8"/>
  <c r="F50" i="8"/>
  <c r="D50" i="8"/>
  <c r="R44" i="8"/>
  <c r="Q44" i="8"/>
  <c r="P44" i="8"/>
  <c r="V39" i="8"/>
  <c r="X39" i="8"/>
  <c r="W39" i="8"/>
  <c r="T42" i="8"/>
  <c r="S42" i="8"/>
  <c r="U42" i="8"/>
  <c r="Y50" i="8"/>
  <c r="AA50" i="8"/>
  <c r="Z50" i="8"/>
  <c r="I46" i="8"/>
  <c r="H46" i="8"/>
  <c r="G46" i="8"/>
  <c r="E46" i="8"/>
  <c r="F46" i="8"/>
  <c r="D46" i="8"/>
  <c r="X50" i="8"/>
  <c r="W50" i="8"/>
  <c r="V50" i="8"/>
  <c r="X48" i="8"/>
  <c r="W48" i="8"/>
  <c r="V48" i="8"/>
  <c r="AA59" i="8"/>
  <c r="Z59" i="8"/>
  <c r="Y59" i="8"/>
  <c r="J43" i="8"/>
  <c r="L43" i="8"/>
  <c r="K43" i="8"/>
  <c r="J47" i="8"/>
  <c r="L47" i="8"/>
  <c r="K47" i="8"/>
  <c r="AA39" i="8"/>
  <c r="Z39" i="8"/>
  <c r="Y39" i="8"/>
  <c r="X55" i="8"/>
  <c r="W55" i="8"/>
  <c r="V55" i="8"/>
  <c r="R53" i="8"/>
  <c r="Q53" i="8"/>
  <c r="P53" i="8"/>
  <c r="H59" i="8"/>
  <c r="G59" i="8"/>
  <c r="I59" i="8"/>
  <c r="I54" i="8"/>
  <c r="H54" i="8"/>
  <c r="G54" i="8"/>
  <c r="W45" i="8"/>
  <c r="V45" i="8"/>
  <c r="X45" i="8"/>
  <c r="Q40" i="8"/>
  <c r="P40" i="8"/>
  <c r="R40" i="8"/>
  <c r="U40" i="8"/>
  <c r="T40" i="8"/>
  <c r="S40" i="8"/>
  <c r="Q49" i="8"/>
  <c r="R49" i="8"/>
  <c r="P49" i="8"/>
  <c r="T41" i="8"/>
  <c r="U41" i="8"/>
  <c r="S41" i="8"/>
  <c r="E52" i="8"/>
  <c r="F52" i="8"/>
  <c r="D52" i="8"/>
  <c r="H58" i="8"/>
  <c r="I58" i="8"/>
  <c r="G58" i="8"/>
  <c r="T48" i="8"/>
  <c r="U48" i="8"/>
  <c r="S48" i="8"/>
  <c r="Q58" i="8"/>
  <c r="R58" i="8"/>
  <c r="P58" i="8"/>
  <c r="Y42" i="8"/>
  <c r="AA42" i="8"/>
  <c r="Z42" i="8"/>
  <c r="H61" i="8"/>
  <c r="I61" i="8"/>
  <c r="G61" i="8"/>
  <c r="Y46" i="8"/>
  <c r="Z46" i="8"/>
  <c r="AA46" i="8"/>
  <c r="R55" i="8"/>
  <c r="Q55" i="8"/>
  <c r="P55" i="8"/>
  <c r="J53" i="8"/>
  <c r="L53" i="8"/>
  <c r="K53" i="8"/>
  <c r="R48" i="8"/>
  <c r="Q48" i="8"/>
  <c r="P48" i="8"/>
  <c r="AA58" i="8"/>
  <c r="Z58" i="8"/>
  <c r="Y58" i="8"/>
  <c r="L52" i="8"/>
  <c r="K52" i="8"/>
  <c r="J52" i="8"/>
  <c r="N55" i="8"/>
  <c r="M55" i="8"/>
  <c r="O55" i="8"/>
  <c r="R38" i="8"/>
  <c r="Q38" i="8"/>
  <c r="P38" i="8"/>
  <c r="I40" i="8"/>
  <c r="H40" i="8"/>
  <c r="G40" i="8"/>
  <c r="X38" i="8"/>
  <c r="W38" i="8"/>
  <c r="V38" i="8"/>
  <c r="I39" i="8"/>
  <c r="H39" i="8"/>
  <c r="G39" i="8"/>
  <c r="Q51" i="8"/>
  <c r="P51" i="8"/>
  <c r="R51" i="8"/>
  <c r="T45" i="8"/>
  <c r="U45" i="8"/>
  <c r="S45" i="8"/>
  <c r="O54" i="8"/>
  <c r="M54" i="8"/>
  <c r="N54" i="8"/>
  <c r="E42" i="8"/>
  <c r="F42" i="8"/>
  <c r="D42" i="8"/>
  <c r="F43" i="8"/>
  <c r="E43" i="8"/>
  <c r="D43" i="8"/>
  <c r="F60" i="8"/>
  <c r="E60" i="8"/>
  <c r="D60" i="8"/>
  <c r="F58" i="8"/>
  <c r="D58" i="8"/>
  <c r="E58" i="8"/>
  <c r="E56" i="8"/>
  <c r="F56" i="8"/>
  <c r="D56" i="8"/>
  <c r="E54" i="8"/>
  <c r="F54" i="8"/>
  <c r="D54" i="8"/>
  <c r="W58" i="8"/>
  <c r="V58" i="8"/>
  <c r="X58" i="8"/>
  <c r="F49" i="8"/>
  <c r="E49" i="8"/>
  <c r="D49" i="8"/>
  <c r="J55" i="8"/>
  <c r="L55" i="8"/>
  <c r="K55" i="8"/>
  <c r="AA49" i="8"/>
  <c r="Z49" i="8"/>
  <c r="Y49" i="8"/>
  <c r="W52" i="8"/>
  <c r="X52" i="8"/>
  <c r="V52" i="8"/>
  <c r="M60" i="8"/>
  <c r="N60" i="8"/>
  <c r="O60" i="8"/>
  <c r="H55" i="8"/>
  <c r="I55" i="8"/>
  <c r="G55" i="8"/>
  <c r="X44" i="8"/>
  <c r="W44" i="8"/>
  <c r="V44" i="8"/>
  <c r="Q39" i="8"/>
  <c r="P39" i="8"/>
  <c r="R39" i="8"/>
  <c r="V42" i="8"/>
  <c r="X42" i="8"/>
  <c r="W42" i="8"/>
  <c r="Z55" i="8"/>
  <c r="Y55" i="8"/>
  <c r="AA55" i="8"/>
  <c r="O39" i="8"/>
  <c r="N39" i="8"/>
  <c r="M39" i="8"/>
  <c r="O43" i="8"/>
  <c r="N43" i="8"/>
  <c r="M43" i="8"/>
  <c r="O45" i="8"/>
  <c r="N45" i="8"/>
  <c r="M45" i="8"/>
  <c r="O50" i="8"/>
  <c r="N50" i="8"/>
  <c r="M50" i="8"/>
  <c r="F41" i="8"/>
  <c r="E41" i="8"/>
  <c r="D41" i="8"/>
  <c r="E40" i="8"/>
  <c r="F40" i="8"/>
  <c r="D40" i="8"/>
  <c r="E44" i="8"/>
  <c r="F44" i="8"/>
  <c r="D44" i="8"/>
  <c r="I52" i="8"/>
  <c r="H52" i="8"/>
  <c r="G52" i="8"/>
  <c r="I50" i="8"/>
  <c r="H50" i="8"/>
  <c r="G50" i="8"/>
  <c r="I48" i="8"/>
  <c r="H48" i="8"/>
  <c r="G48" i="8"/>
  <c r="V57" i="8"/>
  <c r="X57" i="8"/>
  <c r="W57" i="8"/>
  <c r="L46" i="8"/>
  <c r="K46" i="8"/>
  <c r="J46" i="8"/>
  <c r="W54" i="8"/>
  <c r="X54" i="8"/>
  <c r="V54" i="8"/>
  <c r="P52" i="8"/>
  <c r="R52" i="8"/>
  <c r="Q52" i="8"/>
  <c r="T47" i="8"/>
  <c r="U47" i="8"/>
  <c r="S47" i="8"/>
  <c r="O51" i="8"/>
  <c r="N51" i="8"/>
  <c r="M51" i="8"/>
  <c r="V59" i="8"/>
  <c r="X59" i="8"/>
  <c r="W59" i="8"/>
  <c r="O52" i="8"/>
  <c r="N52" i="8"/>
  <c r="M52" i="8"/>
  <c r="F39" i="8"/>
  <c r="E39" i="8"/>
  <c r="D39" i="8"/>
  <c r="X46" i="8"/>
  <c r="W46" i="8"/>
  <c r="V46" i="8"/>
  <c r="R42" i="8"/>
  <c r="Q42" i="8"/>
  <c r="P42" i="8"/>
  <c r="N53" i="8"/>
  <c r="M53" i="8"/>
  <c r="O53" i="8"/>
  <c r="T43" i="8"/>
  <c r="U43" i="8"/>
  <c r="S43" i="8"/>
  <c r="I45" i="8"/>
  <c r="H45" i="8"/>
  <c r="G45" i="8"/>
  <c r="Y54" i="8"/>
  <c r="AA54" i="8"/>
  <c r="Z54" i="8"/>
  <c r="Q47" i="8"/>
  <c r="P47" i="8"/>
  <c r="R47" i="8"/>
  <c r="U61" i="8"/>
  <c r="T61" i="8"/>
  <c r="S61" i="8"/>
  <c r="U59" i="8"/>
  <c r="T59" i="8"/>
  <c r="S59" i="8"/>
  <c r="T57" i="8"/>
  <c r="U57" i="8"/>
  <c r="S57" i="8"/>
  <c r="T55" i="8"/>
  <c r="U55" i="8"/>
  <c r="S55" i="8"/>
  <c r="T53" i="8"/>
  <c r="U53" i="8"/>
  <c r="S53" i="8"/>
  <c r="R57" i="8"/>
  <c r="P57" i="8"/>
  <c r="Q57" i="8"/>
  <c r="AA45" i="8"/>
  <c r="Y45" i="8"/>
  <c r="Z45" i="8"/>
  <c r="K42" i="8"/>
  <c r="L42" i="8"/>
  <c r="J42" i="8"/>
  <c r="R54" i="8"/>
  <c r="Q54" i="8"/>
  <c r="P54" i="8"/>
  <c r="J51" i="8"/>
  <c r="L51" i="8"/>
  <c r="K51" i="8"/>
  <c r="X43" i="8"/>
  <c r="V43" i="8"/>
  <c r="W43" i="8"/>
  <c r="I38" i="8"/>
  <c r="H38" i="8"/>
  <c r="G38" i="8"/>
  <c r="H57" i="8"/>
  <c r="I57" i="8"/>
  <c r="G57" i="8"/>
  <c r="R46" i="8"/>
  <c r="Q46" i="8"/>
  <c r="P46" i="8"/>
  <c r="Y52" i="8"/>
  <c r="AA52" i="8"/>
  <c r="Z52" i="8"/>
  <c r="I42" i="8"/>
  <c r="H42" i="8"/>
  <c r="G42" i="8"/>
  <c r="H53" i="8"/>
  <c r="I53" i="8"/>
  <c r="G53" i="8"/>
  <c r="I41" i="8"/>
  <c r="H41" i="8"/>
  <c r="G41" i="8"/>
  <c r="K61" i="8"/>
  <c r="J61" i="8"/>
  <c r="L61" i="8"/>
  <c r="T38" i="8"/>
  <c r="S38" i="8"/>
  <c r="U38" i="8"/>
  <c r="X51" i="8"/>
  <c r="W51" i="8"/>
  <c r="V51" i="8"/>
  <c r="W49" i="8"/>
  <c r="V49" i="8"/>
  <c r="X49" i="8"/>
  <c r="W47" i="8"/>
  <c r="X47" i="8"/>
  <c r="V47" i="8"/>
  <c r="O61" i="8"/>
  <c r="N61" i="8"/>
  <c r="M61" i="8"/>
  <c r="R61" i="8"/>
  <c r="Q61" i="8"/>
  <c r="P61" i="8"/>
  <c r="J41" i="8"/>
  <c r="L41" i="8"/>
  <c r="K41" i="8"/>
  <c r="W56" i="8"/>
  <c r="X56" i="8"/>
  <c r="V56" i="8"/>
  <c r="AA41" i="8"/>
  <c r="Z41" i="8"/>
  <c r="Y41" i="8"/>
  <c r="L59" i="8"/>
  <c r="K59" i="8"/>
  <c r="J59" i="8"/>
  <c r="L54" i="8"/>
  <c r="K54" i="8"/>
  <c r="J54" i="8"/>
  <c r="T51" i="8"/>
  <c r="U51" i="8"/>
  <c r="S51" i="8"/>
  <c r="J50" i="8"/>
  <c r="L50" i="8"/>
  <c r="K50" i="8"/>
  <c r="Q43" i="8"/>
  <c r="P43" i="8"/>
  <c r="R43" i="8"/>
  <c r="W41" i="8"/>
  <c r="V41" i="8"/>
  <c r="X41" i="8"/>
  <c r="O40" i="8"/>
  <c r="N40" i="8"/>
  <c r="M40" i="8"/>
  <c r="J49" i="8"/>
  <c r="L49" i="8"/>
  <c r="K49" i="8"/>
  <c r="T39" i="8"/>
  <c r="U39" i="8"/>
  <c r="S39" i="8"/>
  <c r="I47" i="8"/>
  <c r="H47" i="8"/>
  <c r="G47" i="8"/>
  <c r="O44" i="8"/>
  <c r="N44" i="8"/>
  <c r="M44" i="8"/>
  <c r="O57" i="8"/>
  <c r="N57" i="8"/>
  <c r="M57" i="8"/>
  <c r="Y38" i="8"/>
  <c r="AA38" i="8"/>
  <c r="Z38" i="8"/>
  <c r="AA61" i="8"/>
  <c r="Y61" i="8"/>
  <c r="Z61" i="8"/>
  <c r="Y60" i="8"/>
  <c r="AA60" i="8"/>
  <c r="Z60" i="8"/>
  <c r="Y44" i="8"/>
  <c r="Z44" i="8"/>
  <c r="AA44" i="8"/>
  <c r="Y40" i="8"/>
  <c r="Z40" i="8"/>
  <c r="AA40" i="8"/>
  <c r="R56" i="8"/>
  <c r="P56" i="8"/>
  <c r="Q56" i="8"/>
  <c r="J45" i="8"/>
  <c r="L45" i="8"/>
  <c r="K45" i="8"/>
  <c r="AA47" i="8"/>
  <c r="Z47" i="8"/>
  <c r="Y47" i="8"/>
  <c r="L60" i="8"/>
  <c r="K60" i="8"/>
  <c r="J60" i="8"/>
  <c r="R41" i="8"/>
  <c r="P41" i="8"/>
  <c r="Q41" i="8"/>
  <c r="L38" i="8"/>
  <c r="K38" i="8"/>
  <c r="J38" i="8"/>
  <c r="I43" i="8"/>
  <c r="H43" i="8"/>
  <c r="G43" i="8"/>
  <c r="D61" i="8"/>
  <c r="F61" i="8"/>
  <c r="E61" i="8"/>
  <c r="E59" i="8"/>
  <c r="F59" i="8"/>
  <c r="D59" i="8"/>
  <c r="F57" i="8"/>
  <c r="E57" i="8"/>
  <c r="D57" i="8"/>
  <c r="E55" i="8"/>
  <c r="D55" i="8"/>
  <c r="F55" i="8"/>
  <c r="F53" i="8"/>
  <c r="E53" i="8"/>
  <c r="D53" i="8"/>
  <c r="P60" i="8"/>
  <c r="R60" i="8"/>
  <c r="Q60" i="8"/>
  <c r="K57" i="8"/>
  <c r="L57" i="8"/>
  <c r="J57" i="8"/>
  <c r="L44" i="8"/>
  <c r="K44" i="8"/>
  <c r="J44" i="8"/>
  <c r="L56" i="8"/>
  <c r="K56" i="8"/>
  <c r="J56" i="8"/>
  <c r="L58" i="8"/>
  <c r="K58" i="8"/>
  <c r="J58" i="8"/>
  <c r="V61" i="8"/>
  <c r="X61" i="8"/>
  <c r="W61" i="8"/>
  <c r="R50" i="8"/>
  <c r="Q50" i="8"/>
  <c r="P50" i="8"/>
  <c r="I60" i="8"/>
  <c r="H60" i="8"/>
  <c r="G60" i="8"/>
  <c r="M49" i="8"/>
  <c r="O49" i="8"/>
  <c r="N49" i="8"/>
  <c r="AA57" i="8"/>
  <c r="Z57" i="8"/>
  <c r="Y57" i="8"/>
  <c r="J39" i="8"/>
  <c r="K39" i="8"/>
  <c r="L39" i="8"/>
  <c r="R45" i="8"/>
  <c r="Q45" i="8"/>
  <c r="P45" i="8"/>
  <c r="E38" i="8"/>
  <c r="F38" i="8"/>
  <c r="D38" i="8"/>
  <c r="Y48" i="8"/>
  <c r="Z48" i="8"/>
  <c r="AA48" i="8"/>
  <c r="Y56" i="8"/>
  <c r="AA56" i="8"/>
  <c r="Z56" i="8"/>
  <c r="U44" i="8"/>
  <c r="T44" i="8"/>
  <c r="S44" i="8"/>
  <c r="T46" i="8"/>
  <c r="S46" i="8"/>
  <c r="U46" i="8"/>
  <c r="O42" i="8"/>
  <c r="N42" i="8"/>
  <c r="M42" i="8"/>
  <c r="F47" i="8"/>
  <c r="E47" i="8"/>
  <c r="D47" i="8"/>
  <c r="O47" i="8"/>
  <c r="N47" i="8"/>
  <c r="M47" i="8"/>
  <c r="I51" i="8"/>
  <c r="H51" i="8"/>
  <c r="G51" i="8"/>
  <c r="I49" i="8"/>
  <c r="H49" i="8"/>
  <c r="G49" i="8"/>
  <c r="W60" i="8"/>
  <c r="X60" i="8"/>
  <c r="V60" i="8"/>
  <c r="F51" i="8"/>
  <c r="E51" i="8"/>
  <c r="D51" i="8"/>
  <c r="AA43" i="8"/>
  <c r="Z43" i="8"/>
  <c r="Y43" i="8"/>
  <c r="AA51" i="8"/>
  <c r="Z51" i="8"/>
  <c r="Y51" i="8"/>
  <c r="O56" i="8"/>
  <c r="M56" i="8"/>
  <c r="N56" i="8"/>
  <c r="T50" i="8"/>
  <c r="S50" i="8"/>
  <c r="U50" i="8"/>
  <c r="O48" i="8"/>
  <c r="N48" i="8"/>
  <c r="M48" i="8"/>
  <c r="M58" i="8"/>
  <c r="O58" i="8"/>
  <c r="N58" i="8"/>
  <c r="Z53" i="8"/>
  <c r="Y53" i="8"/>
  <c r="AA53" i="8"/>
  <c r="O46" i="8"/>
  <c r="N46" i="8"/>
  <c r="M46" i="8"/>
  <c r="M41" i="8"/>
  <c r="O41" i="8"/>
  <c r="N41" i="8"/>
  <c r="E48" i="8"/>
  <c r="F48" i="8"/>
  <c r="D48" i="8"/>
  <c r="E45" i="8"/>
  <c r="D45" i="8"/>
  <c r="F45" i="8"/>
  <c r="R58" i="7"/>
  <c r="P58" i="7"/>
  <c r="Q58" i="7"/>
  <c r="X60" i="7"/>
  <c r="W60" i="7"/>
  <c r="V60" i="7"/>
  <c r="T48" i="7"/>
  <c r="U48" i="7"/>
  <c r="S48" i="7"/>
  <c r="T52" i="7"/>
  <c r="U52" i="7"/>
  <c r="S52" i="7"/>
  <c r="X49" i="7"/>
  <c r="V49" i="7"/>
  <c r="W49" i="7"/>
  <c r="W54" i="7"/>
  <c r="X54" i="7"/>
  <c r="V54" i="7"/>
  <c r="J48" i="7"/>
  <c r="K48" i="7"/>
  <c r="L48" i="7"/>
  <c r="R51" i="7"/>
  <c r="P51" i="7"/>
  <c r="Q51" i="7"/>
  <c r="F55" i="7"/>
  <c r="D55" i="7"/>
  <c r="E55" i="7"/>
  <c r="E59" i="7"/>
  <c r="D59" i="7"/>
  <c r="F59" i="7"/>
  <c r="J60" i="7"/>
  <c r="K60" i="7"/>
  <c r="L60" i="7"/>
  <c r="M57" i="7"/>
  <c r="N57" i="7"/>
  <c r="O57" i="7"/>
  <c r="S58" i="7"/>
  <c r="T58" i="7"/>
  <c r="U58" i="7"/>
  <c r="Y60" i="7"/>
  <c r="Z60" i="7"/>
  <c r="AA60" i="7"/>
  <c r="R60" i="7"/>
  <c r="P60" i="7"/>
  <c r="Q60" i="7"/>
  <c r="S55" i="7"/>
  <c r="T55" i="7"/>
  <c r="U55" i="7"/>
  <c r="W58" i="7"/>
  <c r="X58" i="7"/>
  <c r="V58" i="7"/>
  <c r="H49" i="7"/>
  <c r="I49" i="7"/>
  <c r="G49" i="7"/>
  <c r="P46" i="7"/>
  <c r="Q46" i="7"/>
  <c r="R46" i="7"/>
  <c r="J53" i="7"/>
  <c r="K53" i="7"/>
  <c r="L53" i="7"/>
  <c r="V59" i="7"/>
  <c r="W59" i="7"/>
  <c r="X59" i="7"/>
  <c r="Y52" i="7"/>
  <c r="AA52" i="7"/>
  <c r="Z52" i="7"/>
  <c r="Y48" i="7"/>
  <c r="AA48" i="7"/>
  <c r="Z48" i="7"/>
  <c r="Q48" i="7"/>
  <c r="P48" i="7"/>
  <c r="R48" i="7"/>
  <c r="D52" i="7"/>
  <c r="E52" i="7"/>
  <c r="F52" i="7"/>
  <c r="J55" i="7"/>
  <c r="K55" i="7"/>
  <c r="L55" i="7"/>
  <c r="H55" i="7"/>
  <c r="I55" i="7"/>
  <c r="G55" i="7"/>
  <c r="M53" i="7"/>
  <c r="N53" i="7"/>
  <c r="O53" i="7"/>
  <c r="G52" i="7"/>
  <c r="H52" i="7"/>
  <c r="I52" i="7"/>
  <c r="Y46" i="7"/>
  <c r="Z46" i="7"/>
  <c r="AA46" i="7"/>
  <c r="AA55" i="7"/>
  <c r="Y55" i="7"/>
  <c r="Z55" i="7"/>
  <c r="D50" i="7"/>
  <c r="E50" i="7"/>
  <c r="F50" i="7"/>
  <c r="R56" i="7"/>
  <c r="Q56" i="7"/>
  <c r="P56" i="7"/>
  <c r="V61" i="7"/>
  <c r="W61" i="7"/>
  <c r="X61" i="7"/>
  <c r="I46" i="7"/>
  <c r="G46" i="7"/>
  <c r="H46" i="7"/>
  <c r="N59" i="7"/>
  <c r="M59" i="7"/>
  <c r="O59" i="7"/>
  <c r="S53" i="7"/>
  <c r="T53" i="7"/>
  <c r="U53" i="7"/>
  <c r="AA53" i="7"/>
  <c r="Y53" i="7"/>
  <c r="Z53" i="7"/>
  <c r="H47" i="7"/>
  <c r="I47" i="7"/>
  <c r="G47" i="7"/>
  <c r="W50" i="7"/>
  <c r="X50" i="7"/>
  <c r="V50" i="7"/>
  <c r="V55" i="7"/>
  <c r="W55" i="7"/>
  <c r="X55" i="7"/>
  <c r="E49" i="7"/>
  <c r="F49" i="7"/>
  <c r="D49" i="7"/>
  <c r="J52" i="7"/>
  <c r="L52" i="7"/>
  <c r="K52" i="7"/>
  <c r="R55" i="7"/>
  <c r="P55" i="7"/>
  <c r="Q55" i="7"/>
  <c r="J61" i="7"/>
  <c r="K61" i="7"/>
  <c r="L61" i="7"/>
  <c r="L58" i="7"/>
  <c r="J58" i="7"/>
  <c r="K58" i="7"/>
  <c r="D46" i="7"/>
  <c r="E46" i="7"/>
  <c r="F46" i="7"/>
  <c r="S59" i="7"/>
  <c r="T59" i="7"/>
  <c r="U59" i="7"/>
  <c r="Z61" i="7"/>
  <c r="Y61" i="7"/>
  <c r="AA61" i="7"/>
  <c r="S49" i="7"/>
  <c r="T49" i="7"/>
  <c r="U49" i="7"/>
  <c r="T54" i="7"/>
  <c r="S54" i="7"/>
  <c r="U54" i="7"/>
  <c r="O47" i="7"/>
  <c r="M47" i="7"/>
  <c r="N47" i="7"/>
  <c r="J49" i="7"/>
  <c r="K49" i="7"/>
  <c r="L49" i="7"/>
  <c r="P52" i="7"/>
  <c r="R52" i="7"/>
  <c r="Q52" i="7"/>
  <c r="D56" i="7"/>
  <c r="E56" i="7"/>
  <c r="F56" i="7"/>
  <c r="M58" i="7"/>
  <c r="N58" i="7"/>
  <c r="O58" i="7"/>
  <c r="E61" i="7"/>
  <c r="F61" i="7"/>
  <c r="D61" i="7"/>
  <c r="R59" i="7"/>
  <c r="P59" i="7"/>
  <c r="Q59" i="7"/>
  <c r="Y54" i="7"/>
  <c r="Z54" i="7"/>
  <c r="AA54" i="7"/>
  <c r="T46" i="7"/>
  <c r="S46" i="7"/>
  <c r="U46" i="7"/>
  <c r="Z49" i="7"/>
  <c r="Y49" i="7"/>
  <c r="AA49" i="7"/>
  <c r="G48" i="7"/>
  <c r="H48" i="7"/>
  <c r="I48" i="7"/>
  <c r="W46" i="7"/>
  <c r="X46" i="7"/>
  <c r="V46" i="7"/>
  <c r="W51" i="7"/>
  <c r="V51" i="7"/>
  <c r="X51" i="7"/>
  <c r="W56" i="7"/>
  <c r="X56" i="7"/>
  <c r="V56" i="7"/>
  <c r="K46" i="7"/>
  <c r="L46" i="7"/>
  <c r="J46" i="7"/>
  <c r="R49" i="7"/>
  <c r="P49" i="7"/>
  <c r="Q49" i="7"/>
  <c r="E53" i="7"/>
  <c r="F53" i="7"/>
  <c r="D53" i="7"/>
  <c r="J56" i="7"/>
  <c r="K56" i="7"/>
  <c r="L56" i="7"/>
  <c r="D60" i="7"/>
  <c r="E60" i="7"/>
  <c r="F60" i="7"/>
  <c r="J59" i="7"/>
  <c r="K59" i="7"/>
  <c r="L59" i="7"/>
  <c r="Y58" i="7"/>
  <c r="Z58" i="7"/>
  <c r="AA58" i="7"/>
  <c r="N60" i="7"/>
  <c r="O60" i="7"/>
  <c r="M60" i="7"/>
  <c r="H59" i="7"/>
  <c r="I59" i="7"/>
  <c r="G59" i="7"/>
  <c r="M61" i="7"/>
  <c r="N61" i="7"/>
  <c r="O61" i="7"/>
  <c r="Y56" i="7"/>
  <c r="Z56" i="7"/>
  <c r="AA56" i="7"/>
  <c r="M48" i="7"/>
  <c r="N48" i="7"/>
  <c r="O48" i="7"/>
  <c r="S47" i="7"/>
  <c r="T47" i="7"/>
  <c r="U47" i="7"/>
  <c r="Y50" i="7"/>
  <c r="Z50" i="7"/>
  <c r="AA50" i="7"/>
  <c r="J47" i="7"/>
  <c r="K47" i="7"/>
  <c r="L47" i="7"/>
  <c r="P50" i="7"/>
  <c r="Q50" i="7"/>
  <c r="R50" i="7"/>
  <c r="D54" i="7"/>
  <c r="E54" i="7"/>
  <c r="F54" i="7"/>
  <c r="J57" i="7"/>
  <c r="K57" i="7"/>
  <c r="L57" i="7"/>
  <c r="Q61" i="7"/>
  <c r="R61" i="7"/>
  <c r="P61" i="7"/>
  <c r="H57" i="7"/>
  <c r="I57" i="7"/>
  <c r="G57" i="7"/>
  <c r="M46" i="7"/>
  <c r="N46" i="7"/>
  <c r="O46" i="7"/>
  <c r="S50" i="7"/>
  <c r="T50" i="7"/>
  <c r="U50" i="7"/>
  <c r="T56" i="7"/>
  <c r="U56" i="7"/>
  <c r="S56" i="7"/>
  <c r="M50" i="7"/>
  <c r="N50" i="7"/>
  <c r="O50" i="7"/>
  <c r="V47" i="7"/>
  <c r="W47" i="7"/>
  <c r="X47" i="7"/>
  <c r="W52" i="7"/>
  <c r="X52" i="7"/>
  <c r="V52" i="7"/>
  <c r="X57" i="7"/>
  <c r="V57" i="7"/>
  <c r="W57" i="7"/>
  <c r="F47" i="7"/>
  <c r="D47" i="7"/>
  <c r="E47" i="7"/>
  <c r="L50" i="7"/>
  <c r="J50" i="7"/>
  <c r="K50" i="7"/>
  <c r="R53" i="7"/>
  <c r="P53" i="7"/>
  <c r="Q53" i="7"/>
  <c r="F57" i="7"/>
  <c r="D57" i="7"/>
  <c r="E57" i="7"/>
  <c r="H60" i="7"/>
  <c r="G60" i="7"/>
  <c r="I60" i="7"/>
  <c r="T60" i="7"/>
  <c r="U60" i="7"/>
  <c r="S60" i="7"/>
  <c r="H51" i="7"/>
  <c r="I51" i="7"/>
  <c r="G51" i="7"/>
  <c r="H53" i="7"/>
  <c r="I53" i="7"/>
  <c r="G53" i="7"/>
  <c r="S61" i="7"/>
  <c r="T61" i="7"/>
  <c r="U61" i="7"/>
  <c r="S57" i="7"/>
  <c r="T57" i="7"/>
  <c r="U57" i="7"/>
  <c r="O49" i="7"/>
  <c r="M49" i="7"/>
  <c r="N49" i="7"/>
  <c r="AA59" i="7"/>
  <c r="Y59" i="7"/>
  <c r="Z59" i="7"/>
  <c r="AA47" i="7"/>
  <c r="Z47" i="7"/>
  <c r="Y47" i="7"/>
  <c r="Y57" i="7"/>
  <c r="Z57" i="7"/>
  <c r="AA57" i="7"/>
  <c r="W48" i="7"/>
  <c r="X48" i="7"/>
  <c r="V48" i="7"/>
  <c r="X53" i="7"/>
  <c r="V53" i="7"/>
  <c r="W53" i="7"/>
  <c r="R47" i="7"/>
  <c r="P47" i="7"/>
  <c r="Q47" i="7"/>
  <c r="E51" i="7"/>
  <c r="F51" i="7"/>
  <c r="D51" i="7"/>
  <c r="L54" i="7"/>
  <c r="J54" i="7"/>
  <c r="K54" i="7"/>
  <c r="R57" i="7"/>
  <c r="P57" i="7"/>
  <c r="Q57" i="7"/>
  <c r="G54" i="7"/>
  <c r="H54" i="7"/>
  <c r="I54" i="7"/>
  <c r="I61" i="7"/>
  <c r="H61" i="7"/>
  <c r="G61" i="7"/>
  <c r="G58" i="7"/>
  <c r="H58" i="7"/>
  <c r="I58" i="7"/>
  <c r="M52" i="7"/>
  <c r="N52" i="7"/>
  <c r="O52" i="7"/>
  <c r="M56" i="7"/>
  <c r="N56" i="7"/>
  <c r="O56" i="7"/>
  <c r="S51" i="7"/>
  <c r="T51" i="7"/>
  <c r="U51" i="7"/>
  <c r="G50" i="7"/>
  <c r="I50" i="7"/>
  <c r="H50" i="7"/>
  <c r="Z51" i="7"/>
  <c r="Y51" i="7"/>
  <c r="AA51" i="7"/>
  <c r="D48" i="7"/>
  <c r="E48" i="7"/>
  <c r="F48" i="7"/>
  <c r="J51" i="7"/>
  <c r="K51" i="7"/>
  <c r="L51" i="7"/>
  <c r="Q54" i="7"/>
  <c r="P54" i="7"/>
  <c r="R54" i="7"/>
  <c r="D58" i="7"/>
  <c r="E58" i="7"/>
  <c r="F58" i="7"/>
  <c r="G56" i="7"/>
  <c r="I56" i="7"/>
  <c r="H56" i="7"/>
  <c r="N51" i="7"/>
  <c r="M51" i="7"/>
  <c r="O51" i="7"/>
  <c r="O55" i="7"/>
  <c r="M55" i="7"/>
  <c r="N55" i="7"/>
  <c r="M54" i="7"/>
  <c r="N54" i="7"/>
  <c r="O54" i="7"/>
  <c r="T44" i="7"/>
  <c r="S44" i="7"/>
  <c r="U44" i="7"/>
  <c r="T42" i="7"/>
  <c r="S42" i="7"/>
  <c r="U42" i="7"/>
  <c r="T40" i="7"/>
  <c r="S40" i="7"/>
  <c r="U40" i="7"/>
  <c r="G42" i="7"/>
  <c r="I42" i="7"/>
  <c r="H42" i="7"/>
  <c r="Q42" i="7"/>
  <c r="R42" i="7"/>
  <c r="P42" i="7"/>
  <c r="G44" i="7"/>
  <c r="I44" i="7"/>
  <c r="H44" i="7"/>
  <c r="Y44" i="7"/>
  <c r="AA44" i="7"/>
  <c r="Z44" i="7"/>
  <c r="Y42" i="7"/>
  <c r="AA42" i="7"/>
  <c r="Z42" i="7"/>
  <c r="J39" i="7"/>
  <c r="L39" i="7"/>
  <c r="K39" i="7"/>
  <c r="M43" i="7"/>
  <c r="O43" i="7"/>
  <c r="N43" i="7"/>
  <c r="L42" i="7"/>
  <c r="K42" i="7"/>
  <c r="J42" i="7"/>
  <c r="V39" i="7"/>
  <c r="X39" i="7"/>
  <c r="W39" i="7"/>
  <c r="I39" i="7"/>
  <c r="H39" i="7"/>
  <c r="G39" i="7"/>
  <c r="N39" i="7"/>
  <c r="M39" i="7"/>
  <c r="O39" i="7"/>
  <c r="T39" i="7"/>
  <c r="S39" i="7"/>
  <c r="U39" i="7"/>
  <c r="X38" i="7"/>
  <c r="W38" i="7"/>
  <c r="V38" i="7"/>
  <c r="E44" i="7"/>
  <c r="D44" i="7"/>
  <c r="F44" i="7"/>
  <c r="E42" i="7"/>
  <c r="D42" i="7"/>
  <c r="F42" i="7"/>
  <c r="E40" i="7"/>
  <c r="D40" i="7"/>
  <c r="F40" i="7"/>
  <c r="R45" i="7"/>
  <c r="Q45" i="7"/>
  <c r="P45" i="7"/>
  <c r="M41" i="7"/>
  <c r="O41" i="7"/>
  <c r="N41" i="7"/>
  <c r="Q38" i="7"/>
  <c r="R38" i="7"/>
  <c r="P38" i="7"/>
  <c r="V41" i="7"/>
  <c r="W41" i="7"/>
  <c r="X41" i="7"/>
  <c r="Y38" i="7"/>
  <c r="AA38" i="7"/>
  <c r="Z38" i="7"/>
  <c r="L44" i="7"/>
  <c r="K44" i="7"/>
  <c r="J44" i="7"/>
  <c r="G38" i="7"/>
  <c r="I38" i="7"/>
  <c r="H38" i="7"/>
  <c r="I41" i="7"/>
  <c r="H41" i="7"/>
  <c r="G41" i="7"/>
  <c r="O45" i="7"/>
  <c r="N45" i="7"/>
  <c r="M45" i="7"/>
  <c r="I45" i="7"/>
  <c r="H45" i="7"/>
  <c r="G45" i="7"/>
  <c r="R41" i="7"/>
  <c r="Q41" i="7"/>
  <c r="P41" i="7"/>
  <c r="U38" i="7"/>
  <c r="S38" i="7"/>
  <c r="T38" i="7"/>
  <c r="T45" i="7"/>
  <c r="S45" i="7"/>
  <c r="U45" i="7"/>
  <c r="T43" i="7"/>
  <c r="S43" i="7"/>
  <c r="U43" i="7"/>
  <c r="T41" i="7"/>
  <c r="S41" i="7"/>
  <c r="U41" i="7"/>
  <c r="F39" i="7"/>
  <c r="E39" i="7"/>
  <c r="D39" i="7"/>
  <c r="V45" i="7"/>
  <c r="X45" i="7"/>
  <c r="W45" i="7"/>
  <c r="J41" i="7"/>
  <c r="L41" i="7"/>
  <c r="K41" i="7"/>
  <c r="Q44" i="7"/>
  <c r="R44" i="7"/>
  <c r="P44" i="7"/>
  <c r="Z45" i="7"/>
  <c r="AA45" i="7"/>
  <c r="Y45" i="7"/>
  <c r="AA43" i="7"/>
  <c r="Z43" i="7"/>
  <c r="Y43" i="7"/>
  <c r="O44" i="7"/>
  <c r="N44" i="7"/>
  <c r="M44" i="7"/>
  <c r="R43" i="7"/>
  <c r="Q43" i="7"/>
  <c r="P43" i="7"/>
  <c r="I43" i="7"/>
  <c r="H43" i="7"/>
  <c r="G43" i="7"/>
  <c r="Y40" i="7"/>
  <c r="AA40" i="7"/>
  <c r="Z40" i="7"/>
  <c r="X44" i="7"/>
  <c r="W44" i="7"/>
  <c r="V44" i="7"/>
  <c r="O38" i="7"/>
  <c r="N38" i="7"/>
  <c r="M38" i="7"/>
  <c r="O40" i="7"/>
  <c r="N40" i="7"/>
  <c r="M40" i="7"/>
  <c r="AA39" i="7"/>
  <c r="Z39" i="7"/>
  <c r="Y39" i="7"/>
  <c r="X40" i="7"/>
  <c r="W40" i="7"/>
  <c r="V40" i="7"/>
  <c r="E38" i="7"/>
  <c r="D38" i="7"/>
  <c r="F38" i="7"/>
  <c r="F45" i="7"/>
  <c r="E45" i="7"/>
  <c r="D45" i="7"/>
  <c r="E43" i="7"/>
  <c r="F43" i="7"/>
  <c r="D43" i="7"/>
  <c r="F41" i="7"/>
  <c r="E41" i="7"/>
  <c r="D41" i="7"/>
  <c r="G40" i="7"/>
  <c r="I40" i="7"/>
  <c r="H40" i="7"/>
  <c r="V43" i="7"/>
  <c r="X43" i="7"/>
  <c r="W43" i="7"/>
  <c r="Q40" i="7"/>
  <c r="R40" i="7"/>
  <c r="P40" i="7"/>
  <c r="J38" i="7"/>
  <c r="L38" i="7"/>
  <c r="K38" i="7"/>
  <c r="R63" i="7"/>
  <c r="J45" i="7"/>
  <c r="L45" i="7"/>
  <c r="K45" i="7"/>
  <c r="J43" i="7"/>
  <c r="L43" i="7"/>
  <c r="K43" i="7"/>
  <c r="O42" i="7"/>
  <c r="N42" i="7"/>
  <c r="M42" i="7"/>
  <c r="AA41" i="7"/>
  <c r="Z41" i="7"/>
  <c r="Y41" i="7"/>
  <c r="X42" i="7"/>
  <c r="W42" i="7"/>
  <c r="V42" i="7"/>
  <c r="L40" i="7"/>
  <c r="K40" i="7"/>
  <c r="J40" i="7"/>
  <c r="R39" i="7"/>
  <c r="Q39" i="7"/>
  <c r="P39" i="7"/>
  <c r="U44" i="6"/>
  <c r="T44" i="6"/>
  <c r="S44" i="6"/>
  <c r="T41" i="6"/>
  <c r="S41" i="6"/>
  <c r="U41" i="6"/>
  <c r="S42" i="6"/>
  <c r="U42" i="6"/>
  <c r="T42" i="6"/>
  <c r="E44" i="6"/>
  <c r="D44" i="6"/>
  <c r="F44" i="6"/>
  <c r="J41" i="6"/>
  <c r="L41" i="6"/>
  <c r="K41" i="6"/>
  <c r="K40" i="6"/>
  <c r="L40" i="6"/>
  <c r="J40" i="6"/>
  <c r="E42" i="6"/>
  <c r="D42" i="6"/>
  <c r="F42" i="6"/>
  <c r="R63" i="6"/>
  <c r="X42" i="6"/>
  <c r="W42" i="6"/>
  <c r="V42" i="6"/>
  <c r="X40" i="6"/>
  <c r="W40" i="6"/>
  <c r="V40" i="6"/>
  <c r="M41" i="6"/>
  <c r="O41" i="6"/>
  <c r="N41" i="6"/>
  <c r="I45" i="6"/>
  <c r="H45" i="6"/>
  <c r="G45" i="6"/>
  <c r="L42" i="6"/>
  <c r="K42" i="6"/>
  <c r="J42" i="6"/>
  <c r="O38" i="6"/>
  <c r="N38" i="6"/>
  <c r="M38" i="6"/>
  <c r="Z41" i="6"/>
  <c r="Y41" i="6"/>
  <c r="AA41" i="6"/>
  <c r="I44" i="6"/>
  <c r="H44" i="6"/>
  <c r="G44" i="6"/>
  <c r="O40" i="6"/>
  <c r="N40" i="6"/>
  <c r="M40" i="6"/>
  <c r="E40" i="6"/>
  <c r="D40" i="6"/>
  <c r="F40" i="6"/>
  <c r="U40" i="6"/>
  <c r="T40" i="6"/>
  <c r="S40" i="6"/>
  <c r="Y38" i="6"/>
  <c r="AA38" i="6"/>
  <c r="Z38" i="6"/>
  <c r="Q40" i="6"/>
  <c r="P40" i="6"/>
  <c r="R40" i="6"/>
  <c r="I43" i="6"/>
  <c r="H43" i="6"/>
  <c r="G43" i="6"/>
  <c r="W39" i="6"/>
  <c r="X39" i="6"/>
  <c r="V39" i="6"/>
  <c r="Y40" i="6"/>
  <c r="AA40" i="6"/>
  <c r="Z40" i="6"/>
  <c r="G42" i="6"/>
  <c r="I42" i="6"/>
  <c r="H42" i="6"/>
  <c r="Y39" i="6"/>
  <c r="AA39" i="6"/>
  <c r="Z39" i="6"/>
  <c r="X41" i="6"/>
  <c r="W41" i="6"/>
  <c r="V41" i="6"/>
  <c r="J43" i="6"/>
  <c r="L43" i="6"/>
  <c r="K43" i="6"/>
  <c r="J39" i="6"/>
  <c r="L39" i="6"/>
  <c r="K39" i="6"/>
  <c r="L38" i="6"/>
  <c r="K38" i="6"/>
  <c r="J38" i="6"/>
  <c r="X45" i="6"/>
  <c r="V45" i="6"/>
  <c r="W45" i="6"/>
  <c r="I40" i="6"/>
  <c r="H40" i="6"/>
  <c r="G40" i="6"/>
  <c r="T45" i="6"/>
  <c r="S45" i="6"/>
  <c r="U45" i="6"/>
  <c r="M45" i="6"/>
  <c r="O45" i="6"/>
  <c r="N45" i="6"/>
  <c r="T43" i="6"/>
  <c r="S43" i="6"/>
  <c r="U43" i="6"/>
  <c r="T39" i="6"/>
  <c r="S39" i="6"/>
  <c r="U39" i="6"/>
  <c r="R43" i="6"/>
  <c r="Q43" i="6"/>
  <c r="P43" i="6"/>
  <c r="J45" i="6"/>
  <c r="L45" i="6"/>
  <c r="K45" i="6"/>
  <c r="X38" i="6"/>
  <c r="W38" i="6"/>
  <c r="V38" i="6"/>
  <c r="M43" i="6"/>
  <c r="O43" i="6"/>
  <c r="N43" i="6"/>
  <c r="O39" i="6"/>
  <c r="N39" i="6"/>
  <c r="M39" i="6"/>
  <c r="G38" i="6"/>
  <c r="I38" i="6"/>
  <c r="H38" i="6"/>
  <c r="R45" i="6"/>
  <c r="Q45" i="6"/>
  <c r="P45" i="6"/>
  <c r="X44" i="6"/>
  <c r="W44" i="6"/>
  <c r="V44" i="6"/>
  <c r="Y42" i="6"/>
  <c r="Z42" i="6"/>
  <c r="AA42" i="6"/>
  <c r="I39" i="6"/>
  <c r="H39" i="6"/>
  <c r="G39" i="6"/>
  <c r="Z45" i="6"/>
  <c r="Y45" i="6"/>
  <c r="AA45" i="6"/>
  <c r="E39" i="6"/>
  <c r="D39" i="6"/>
  <c r="F39" i="6"/>
  <c r="K44" i="6"/>
  <c r="L44" i="6"/>
  <c r="J44" i="6"/>
  <c r="E41" i="6"/>
  <c r="F41" i="6"/>
  <c r="D41" i="6"/>
  <c r="R41" i="6"/>
  <c r="P41" i="6"/>
  <c r="Q41" i="6"/>
  <c r="O44" i="6"/>
  <c r="N44" i="6"/>
  <c r="M44" i="6"/>
  <c r="E38" i="6"/>
  <c r="D38" i="6"/>
  <c r="F38" i="6"/>
  <c r="S38" i="6"/>
  <c r="T38" i="6"/>
  <c r="U38" i="6"/>
  <c r="O42" i="6"/>
  <c r="N42" i="6"/>
  <c r="M42" i="6"/>
  <c r="F45" i="6"/>
  <c r="E45" i="6"/>
  <c r="D45" i="6"/>
  <c r="Q42" i="6"/>
  <c r="P42" i="6"/>
  <c r="R42" i="6"/>
  <c r="Q38" i="6"/>
  <c r="P38" i="6"/>
  <c r="R38" i="6"/>
  <c r="R44" i="6"/>
  <c r="Q44" i="6"/>
  <c r="P44" i="6"/>
  <c r="W43" i="6"/>
  <c r="X43" i="6"/>
  <c r="V43" i="6"/>
  <c r="Z43" i="6"/>
  <c r="AA43" i="6"/>
  <c r="Y43" i="6"/>
  <c r="Y44" i="6"/>
  <c r="AA44" i="6"/>
  <c r="Z44" i="6"/>
  <c r="R39" i="6"/>
  <c r="Q39" i="6"/>
  <c r="P39" i="6"/>
  <c r="I41" i="6"/>
  <c r="H41" i="6"/>
  <c r="G41" i="6"/>
  <c r="E43" i="6"/>
  <c r="D43" i="6"/>
  <c r="F43" i="6"/>
  <c r="P65" i="5"/>
  <c r="N65" i="5"/>
  <c r="Q43" i="5"/>
  <c r="R43" i="5"/>
  <c r="P43" i="5"/>
  <c r="V38" i="5"/>
  <c r="X38" i="5"/>
  <c r="W38" i="5"/>
  <c r="H40" i="5"/>
  <c r="I40" i="5"/>
  <c r="G40" i="5"/>
  <c r="V42" i="5"/>
  <c r="X42" i="5"/>
  <c r="W42" i="5"/>
  <c r="S38" i="5"/>
  <c r="U38" i="5"/>
  <c r="T38" i="5"/>
  <c r="J41" i="5"/>
  <c r="K41" i="5"/>
  <c r="L41" i="5"/>
  <c r="E38" i="5"/>
  <c r="F38" i="5"/>
  <c r="D38" i="5"/>
  <c r="AA45" i="5"/>
  <c r="Z45" i="5"/>
  <c r="Y45" i="5"/>
  <c r="U44" i="5"/>
  <c r="T44" i="5"/>
  <c r="S44" i="5"/>
  <c r="U42" i="5"/>
  <c r="S42" i="5"/>
  <c r="T42" i="5"/>
  <c r="S40" i="5"/>
  <c r="U40" i="5"/>
  <c r="T40" i="5"/>
  <c r="G43" i="5"/>
  <c r="I43" i="5"/>
  <c r="H43" i="5"/>
  <c r="AA39" i="5"/>
  <c r="Z39" i="5"/>
  <c r="Y39" i="5"/>
  <c r="M45" i="5"/>
  <c r="O45" i="5"/>
  <c r="N45" i="5"/>
  <c r="O40" i="5"/>
  <c r="N40" i="5"/>
  <c r="M40" i="5"/>
  <c r="L38" i="5"/>
  <c r="K38" i="5"/>
  <c r="J38" i="5"/>
  <c r="R42" i="5"/>
  <c r="P42" i="5"/>
  <c r="Q42" i="5"/>
  <c r="W41" i="5"/>
  <c r="X41" i="5"/>
  <c r="V41" i="5"/>
  <c r="Q39" i="5"/>
  <c r="R39" i="5"/>
  <c r="P39" i="5"/>
  <c r="T39" i="5"/>
  <c r="U39" i="5"/>
  <c r="S39" i="5"/>
  <c r="Y44" i="5"/>
  <c r="Z44" i="5"/>
  <c r="AA44" i="5"/>
  <c r="R38" i="5"/>
  <c r="P38" i="5"/>
  <c r="Q38" i="5"/>
  <c r="O44" i="5"/>
  <c r="N44" i="5"/>
  <c r="M44" i="5"/>
  <c r="Y38" i="5"/>
  <c r="Z38" i="5"/>
  <c r="AA38" i="5"/>
  <c r="E44" i="5"/>
  <c r="F44" i="5"/>
  <c r="D44" i="5"/>
  <c r="E42" i="5"/>
  <c r="F42" i="5"/>
  <c r="D42" i="5"/>
  <c r="Q41" i="5"/>
  <c r="R41" i="5"/>
  <c r="P41" i="5"/>
  <c r="W45" i="5"/>
  <c r="X45" i="5"/>
  <c r="V45" i="5"/>
  <c r="V40" i="5"/>
  <c r="X40" i="5"/>
  <c r="W40" i="5"/>
  <c r="J45" i="5"/>
  <c r="K45" i="5"/>
  <c r="L45" i="5"/>
  <c r="AA43" i="5"/>
  <c r="Y43" i="5"/>
  <c r="Z43" i="5"/>
  <c r="H42" i="5"/>
  <c r="I42" i="5"/>
  <c r="G42" i="5"/>
  <c r="G41" i="5"/>
  <c r="H41" i="5"/>
  <c r="I41" i="5"/>
  <c r="H38" i="5"/>
  <c r="I38" i="5"/>
  <c r="G38" i="5"/>
  <c r="M43" i="5"/>
  <c r="O43" i="5"/>
  <c r="N43" i="5"/>
  <c r="E40" i="5"/>
  <c r="F40" i="5"/>
  <c r="D40" i="5"/>
  <c r="J43" i="5"/>
  <c r="K43" i="5"/>
  <c r="L43" i="5"/>
  <c r="T45" i="5"/>
  <c r="U45" i="5"/>
  <c r="S45" i="5"/>
  <c r="T43" i="5"/>
  <c r="U43" i="5"/>
  <c r="S43" i="5"/>
  <c r="T41" i="5"/>
  <c r="U41" i="5"/>
  <c r="S41" i="5"/>
  <c r="Q45" i="5"/>
  <c r="R45" i="5"/>
  <c r="P45" i="5"/>
  <c r="R40" i="5"/>
  <c r="P40" i="5"/>
  <c r="Q40" i="5"/>
  <c r="V44" i="5"/>
  <c r="X44" i="5"/>
  <c r="W44" i="5"/>
  <c r="O38" i="5"/>
  <c r="N38" i="5"/>
  <c r="M38" i="5"/>
  <c r="W39" i="5"/>
  <c r="X39" i="5"/>
  <c r="V39" i="5"/>
  <c r="L42" i="5"/>
  <c r="K42" i="5"/>
  <c r="J42" i="5"/>
  <c r="Y42" i="5"/>
  <c r="Z42" i="5"/>
  <c r="AA42" i="5"/>
  <c r="G45" i="5"/>
  <c r="I45" i="5"/>
  <c r="H45" i="5"/>
  <c r="J39" i="5"/>
  <c r="K39" i="5"/>
  <c r="L39" i="5"/>
  <c r="O42" i="5"/>
  <c r="N42" i="5"/>
  <c r="M42" i="5"/>
  <c r="L40" i="5"/>
  <c r="K40" i="5"/>
  <c r="J40" i="5"/>
  <c r="M39" i="5"/>
  <c r="O39" i="5"/>
  <c r="N39" i="5"/>
  <c r="R44" i="5"/>
  <c r="P44" i="5"/>
  <c r="Q44" i="5"/>
  <c r="W43" i="5"/>
  <c r="X43" i="5"/>
  <c r="V43" i="5"/>
  <c r="Y40" i="5"/>
  <c r="Z40" i="5"/>
  <c r="AA40" i="5"/>
  <c r="AA41" i="5"/>
  <c r="Y41" i="5"/>
  <c r="Z41" i="5"/>
  <c r="D45" i="5"/>
  <c r="F45" i="5"/>
  <c r="E45" i="5"/>
  <c r="D43" i="5"/>
  <c r="F43" i="5"/>
  <c r="E43" i="5"/>
  <c r="D41" i="5"/>
  <c r="F41" i="5"/>
  <c r="E41" i="5"/>
  <c r="H44" i="5"/>
  <c r="I44" i="5"/>
  <c r="G44" i="5"/>
  <c r="D39" i="5"/>
  <c r="F39" i="5"/>
  <c r="E39" i="5"/>
  <c r="G39" i="5"/>
  <c r="H39" i="5"/>
  <c r="I39" i="5"/>
  <c r="M41" i="5"/>
  <c r="O41" i="5"/>
  <c r="N41" i="5"/>
  <c r="L44" i="5"/>
  <c r="K44" i="5"/>
  <c r="J44" i="5"/>
  <c r="N39" i="4"/>
  <c r="M39" i="4"/>
  <c r="O39" i="4"/>
  <c r="I39" i="4"/>
  <c r="H39" i="4"/>
  <c r="G39" i="4"/>
  <c r="U38" i="4"/>
  <c r="S38" i="4"/>
  <c r="T38" i="4"/>
  <c r="O44" i="4"/>
  <c r="N44" i="4"/>
  <c r="M44" i="4"/>
  <c r="R44" i="4"/>
  <c r="P44" i="4"/>
  <c r="Q44" i="4"/>
  <c r="X44" i="4"/>
  <c r="W44" i="4"/>
  <c r="V44" i="4"/>
  <c r="J41" i="4"/>
  <c r="L41" i="4"/>
  <c r="K41" i="4"/>
  <c r="J39" i="4"/>
  <c r="L39" i="4"/>
  <c r="K39" i="4"/>
  <c r="E44" i="4"/>
  <c r="D44" i="4"/>
  <c r="F44" i="4"/>
  <c r="E42" i="4"/>
  <c r="D42" i="4"/>
  <c r="F42" i="4"/>
  <c r="Q38" i="4"/>
  <c r="P38" i="4"/>
  <c r="R38" i="4"/>
  <c r="V45" i="4"/>
  <c r="X45" i="4"/>
  <c r="W45" i="4"/>
  <c r="X42" i="4"/>
  <c r="W42" i="4"/>
  <c r="V42" i="4"/>
  <c r="O41" i="4"/>
  <c r="N41" i="4"/>
  <c r="M41" i="4"/>
  <c r="H38" i="4"/>
  <c r="G38" i="4"/>
  <c r="I38" i="4"/>
  <c r="Y42" i="4"/>
  <c r="AA42" i="4"/>
  <c r="Z42" i="4"/>
  <c r="X43" i="4"/>
  <c r="W43" i="4"/>
  <c r="V43" i="4"/>
  <c r="U40" i="4"/>
  <c r="T40" i="4"/>
  <c r="S40" i="4"/>
  <c r="O42" i="4"/>
  <c r="N42" i="4"/>
  <c r="M42" i="4"/>
  <c r="L44" i="4"/>
  <c r="K44" i="4"/>
  <c r="J44" i="4"/>
  <c r="E40" i="4"/>
  <c r="D40" i="4"/>
  <c r="F40" i="4"/>
  <c r="Y38" i="4"/>
  <c r="AA38" i="4"/>
  <c r="Z38" i="4"/>
  <c r="T45" i="4"/>
  <c r="S45" i="4"/>
  <c r="U45" i="4"/>
  <c r="T43" i="4"/>
  <c r="S43" i="4"/>
  <c r="U43" i="4"/>
  <c r="T41" i="4"/>
  <c r="S41" i="4"/>
  <c r="U41" i="4"/>
  <c r="N43" i="4"/>
  <c r="O43" i="4"/>
  <c r="M43" i="4"/>
  <c r="Y39" i="4"/>
  <c r="AA39" i="4"/>
  <c r="Z39" i="4"/>
  <c r="L42" i="4"/>
  <c r="K42" i="4"/>
  <c r="J42" i="4"/>
  <c r="R45" i="4"/>
  <c r="Q45" i="4"/>
  <c r="P45" i="4"/>
  <c r="R39" i="4"/>
  <c r="Q39" i="4"/>
  <c r="P39" i="4"/>
  <c r="I41" i="4"/>
  <c r="H41" i="4"/>
  <c r="G41" i="4"/>
  <c r="Y44" i="4"/>
  <c r="AA44" i="4"/>
  <c r="Z44" i="4"/>
  <c r="H40" i="4"/>
  <c r="G40" i="4"/>
  <c r="I40" i="4"/>
  <c r="X38" i="4"/>
  <c r="W38" i="4"/>
  <c r="V38" i="4"/>
  <c r="I43" i="4"/>
  <c r="H43" i="4"/>
  <c r="G43" i="4"/>
  <c r="E38" i="4"/>
  <c r="D38" i="4"/>
  <c r="F38" i="4"/>
  <c r="J45" i="4"/>
  <c r="L45" i="4"/>
  <c r="K45" i="4"/>
  <c r="X41" i="4"/>
  <c r="W41" i="4"/>
  <c r="V41" i="4"/>
  <c r="F45" i="4"/>
  <c r="D45" i="4"/>
  <c r="E45" i="4"/>
  <c r="F43" i="4"/>
  <c r="E43" i="4"/>
  <c r="D43" i="4"/>
  <c r="D41" i="4"/>
  <c r="E41" i="4"/>
  <c r="F41" i="4"/>
  <c r="P40" i="4"/>
  <c r="R40" i="4"/>
  <c r="Q40" i="4"/>
  <c r="R42" i="4"/>
  <c r="Q42" i="4"/>
  <c r="P42" i="4"/>
  <c r="O38" i="4"/>
  <c r="N38" i="4"/>
  <c r="M38" i="4"/>
  <c r="AA45" i="4"/>
  <c r="Z45" i="4"/>
  <c r="Y45" i="4"/>
  <c r="O40" i="4"/>
  <c r="N40" i="4"/>
  <c r="M40" i="4"/>
  <c r="R43" i="4"/>
  <c r="P43" i="4"/>
  <c r="Q43" i="4"/>
  <c r="I44" i="4"/>
  <c r="H44" i="4"/>
  <c r="G44" i="4"/>
  <c r="J43" i="4"/>
  <c r="L43" i="4"/>
  <c r="K43" i="4"/>
  <c r="F39" i="4"/>
  <c r="E39" i="4"/>
  <c r="D39" i="4"/>
  <c r="K40" i="4"/>
  <c r="L40" i="4"/>
  <c r="J40" i="4"/>
  <c r="H42" i="4"/>
  <c r="G42" i="4"/>
  <c r="I42" i="4"/>
  <c r="W39" i="4"/>
  <c r="X39" i="4"/>
  <c r="V39" i="4"/>
  <c r="O45" i="4"/>
  <c r="M45" i="4"/>
  <c r="N45" i="4"/>
  <c r="R41" i="4"/>
  <c r="Q41" i="4"/>
  <c r="P41" i="4"/>
  <c r="S44" i="4"/>
  <c r="U44" i="4"/>
  <c r="T44" i="4"/>
  <c r="U42" i="4"/>
  <c r="S42" i="4"/>
  <c r="T42" i="4"/>
  <c r="T39" i="4"/>
  <c r="S39" i="4"/>
  <c r="U39" i="4"/>
  <c r="L38" i="4"/>
  <c r="K38" i="4"/>
  <c r="J38" i="4"/>
  <c r="Y41" i="4"/>
  <c r="AA41" i="4"/>
  <c r="Z41" i="4"/>
  <c r="Y40" i="4"/>
  <c r="AA40" i="4"/>
  <c r="Z40" i="4"/>
  <c r="AA43" i="4"/>
  <c r="Y43" i="4"/>
  <c r="Z43" i="4"/>
  <c r="X40" i="4"/>
  <c r="W40" i="4"/>
  <c r="V40" i="4"/>
  <c r="I45" i="4"/>
  <c r="H45" i="4"/>
  <c r="G45" i="4"/>
  <c r="E44" i="3"/>
  <c r="D44" i="3"/>
  <c r="F44" i="3"/>
  <c r="H42" i="3"/>
  <c r="G42" i="3"/>
  <c r="I42" i="3"/>
  <c r="U44" i="3"/>
  <c r="T44" i="3"/>
  <c r="S44" i="3"/>
  <c r="U42" i="3"/>
  <c r="T42" i="3"/>
  <c r="S42" i="3"/>
  <c r="U40" i="3"/>
  <c r="T40" i="3"/>
  <c r="S40" i="3"/>
  <c r="L38" i="3"/>
  <c r="K38" i="3"/>
  <c r="J38" i="3"/>
  <c r="Y42" i="3"/>
  <c r="AA42" i="3"/>
  <c r="Z42" i="3"/>
  <c r="R44" i="3"/>
  <c r="Q44" i="3"/>
  <c r="P44" i="3"/>
  <c r="O38" i="3"/>
  <c r="N38" i="3"/>
  <c r="M38" i="3"/>
  <c r="L44" i="3"/>
  <c r="K44" i="3"/>
  <c r="J44" i="3"/>
  <c r="W39" i="3"/>
  <c r="V39" i="3"/>
  <c r="X39" i="3"/>
  <c r="H44" i="3"/>
  <c r="G44" i="3"/>
  <c r="I44" i="3"/>
  <c r="J43" i="3"/>
  <c r="L43" i="3"/>
  <c r="K43" i="3"/>
  <c r="J45" i="3"/>
  <c r="L45" i="3"/>
  <c r="K45" i="3"/>
  <c r="I43" i="3"/>
  <c r="H43" i="3"/>
  <c r="G43" i="3"/>
  <c r="R43" i="3"/>
  <c r="Q43" i="3"/>
  <c r="P43" i="3"/>
  <c r="R42" i="3"/>
  <c r="Q42" i="3"/>
  <c r="P42" i="3"/>
  <c r="J39" i="3"/>
  <c r="L39" i="3"/>
  <c r="K39" i="3"/>
  <c r="M41" i="3"/>
  <c r="O41" i="3"/>
  <c r="N41" i="3"/>
  <c r="AA43" i="3"/>
  <c r="Z43" i="3"/>
  <c r="Y43" i="3"/>
  <c r="E38" i="3"/>
  <c r="D38" i="3"/>
  <c r="F38" i="3"/>
  <c r="M43" i="3"/>
  <c r="O43" i="3"/>
  <c r="N43" i="3"/>
  <c r="H40" i="3"/>
  <c r="G40" i="3"/>
  <c r="I40" i="3"/>
  <c r="Y40" i="3"/>
  <c r="AA40" i="3"/>
  <c r="Z40" i="3"/>
  <c r="AA39" i="3"/>
  <c r="Z39" i="3"/>
  <c r="Y39" i="3"/>
  <c r="I41" i="3"/>
  <c r="H41" i="3"/>
  <c r="G41" i="3"/>
  <c r="U38" i="3"/>
  <c r="T38" i="3"/>
  <c r="S38" i="3"/>
  <c r="W45" i="3"/>
  <c r="V45" i="3"/>
  <c r="X45" i="3"/>
  <c r="E42" i="3"/>
  <c r="D42" i="3"/>
  <c r="F42" i="3"/>
  <c r="Y38" i="3"/>
  <c r="AA38" i="3"/>
  <c r="Z38" i="3"/>
  <c r="L42" i="3"/>
  <c r="K42" i="3"/>
  <c r="J42" i="3"/>
  <c r="AA41" i="3"/>
  <c r="Z41" i="3"/>
  <c r="Y41" i="3"/>
  <c r="R41" i="3"/>
  <c r="Q41" i="3"/>
  <c r="P41" i="3"/>
  <c r="T43" i="3"/>
  <c r="S43" i="3"/>
  <c r="U43" i="3"/>
  <c r="J41" i="3"/>
  <c r="L41" i="3"/>
  <c r="K41" i="3"/>
  <c r="W43" i="3"/>
  <c r="V43" i="3"/>
  <c r="X43" i="3"/>
  <c r="H38" i="3"/>
  <c r="G38" i="3"/>
  <c r="I38" i="3"/>
  <c r="I45" i="3"/>
  <c r="H45" i="3"/>
  <c r="G45" i="3"/>
  <c r="M39" i="3"/>
  <c r="O39" i="3"/>
  <c r="N39" i="3"/>
  <c r="O40" i="3"/>
  <c r="N40" i="3"/>
  <c r="M40" i="3"/>
  <c r="E40" i="3"/>
  <c r="D40" i="3"/>
  <c r="F40" i="3"/>
  <c r="Y44" i="3"/>
  <c r="AA44" i="3"/>
  <c r="Z44" i="3"/>
  <c r="O44" i="3"/>
  <c r="N44" i="3"/>
  <c r="M44" i="3"/>
  <c r="R63" i="3"/>
  <c r="F45" i="3"/>
  <c r="E45" i="3"/>
  <c r="D45" i="3"/>
  <c r="F43" i="3"/>
  <c r="E43" i="3"/>
  <c r="D43" i="3"/>
  <c r="F41" i="3"/>
  <c r="E41" i="3"/>
  <c r="D41" i="3"/>
  <c r="F39" i="3"/>
  <c r="E39" i="3"/>
  <c r="D39" i="3"/>
  <c r="W41" i="3"/>
  <c r="V41" i="3"/>
  <c r="X41" i="3"/>
  <c r="X40" i="3"/>
  <c r="W40" i="3"/>
  <c r="V40" i="3"/>
  <c r="R45" i="3"/>
  <c r="Q45" i="3"/>
  <c r="P45" i="3"/>
  <c r="X38" i="3"/>
  <c r="W38" i="3"/>
  <c r="V38" i="3"/>
  <c r="O42" i="3"/>
  <c r="N42" i="3"/>
  <c r="M42" i="3"/>
  <c r="T45" i="3"/>
  <c r="S45" i="3"/>
  <c r="U45" i="3"/>
  <c r="T41" i="3"/>
  <c r="S41" i="3"/>
  <c r="U41" i="3"/>
  <c r="X44" i="3"/>
  <c r="W44" i="3"/>
  <c r="V44" i="3"/>
  <c r="T39" i="3"/>
  <c r="S39" i="3"/>
  <c r="U39" i="3"/>
  <c r="M45" i="3"/>
  <c r="O45" i="3"/>
  <c r="N45" i="3"/>
  <c r="L40" i="3"/>
  <c r="K40" i="3"/>
  <c r="J40" i="3"/>
  <c r="AA45" i="3"/>
  <c r="Z45" i="3"/>
  <c r="Y45" i="3"/>
  <c r="R38" i="3"/>
  <c r="Q38" i="3"/>
  <c r="P38" i="3"/>
  <c r="I39" i="3"/>
  <c r="H39" i="3"/>
  <c r="G39" i="3"/>
  <c r="R40" i="3"/>
  <c r="Q40" i="3"/>
  <c r="P40" i="3"/>
  <c r="R39" i="3"/>
  <c r="Q39" i="3"/>
  <c r="P39" i="3"/>
  <c r="X42" i="3"/>
  <c r="W42" i="3"/>
  <c r="V42" i="3"/>
  <c r="F42" i="2"/>
  <c r="F38" i="2"/>
  <c r="F45" i="2"/>
  <c r="F44" i="2"/>
  <c r="F41" i="2"/>
  <c r="F43" i="2"/>
  <c r="P41" i="2"/>
  <c r="Q41" i="2"/>
  <c r="R41" i="2"/>
  <c r="G41" i="2"/>
  <c r="H41" i="2"/>
  <c r="I41" i="2"/>
  <c r="Y41" i="2"/>
  <c r="Z41" i="2"/>
  <c r="AA41" i="2"/>
  <c r="AA38" i="2"/>
  <c r="Y38" i="2"/>
  <c r="Z38" i="2"/>
  <c r="G43" i="2"/>
  <c r="H43" i="2"/>
  <c r="I43" i="2"/>
  <c r="Y40" i="2"/>
  <c r="Z40" i="2"/>
  <c r="AA40" i="2"/>
  <c r="K44" i="2"/>
  <c r="L44" i="2"/>
  <c r="J44" i="2"/>
  <c r="K42" i="2"/>
  <c r="L42" i="2"/>
  <c r="J42" i="2"/>
  <c r="P40" i="2"/>
  <c r="Q40" i="2"/>
  <c r="R40" i="2"/>
  <c r="H45" i="2"/>
  <c r="I45" i="2"/>
  <c r="G45" i="2"/>
  <c r="J39" i="2"/>
  <c r="K39" i="2"/>
  <c r="L39" i="2"/>
  <c r="V44" i="2"/>
  <c r="W44" i="2"/>
  <c r="X44" i="2"/>
  <c r="G39" i="2"/>
  <c r="H39" i="2"/>
  <c r="I39" i="2"/>
  <c r="W40" i="2"/>
  <c r="X40" i="2"/>
  <c r="V40" i="2"/>
  <c r="AA43" i="2"/>
  <c r="Y43" i="2"/>
  <c r="Z43" i="2"/>
  <c r="O40" i="2"/>
  <c r="N40" i="2"/>
  <c r="M40" i="2"/>
  <c r="P44" i="2"/>
  <c r="Q44" i="2"/>
  <c r="R44" i="2"/>
  <c r="M45" i="2"/>
  <c r="N45" i="2"/>
  <c r="O45" i="2"/>
  <c r="Z44" i="2"/>
  <c r="Y44" i="2"/>
  <c r="AA44" i="2"/>
  <c r="N41" i="2"/>
  <c r="O41" i="2"/>
  <c r="M41" i="2"/>
  <c r="N39" i="2"/>
  <c r="M39" i="2"/>
  <c r="O39" i="2"/>
  <c r="K41" i="2"/>
  <c r="J41" i="2"/>
  <c r="L41" i="2"/>
  <c r="P39" i="2"/>
  <c r="Q39" i="2"/>
  <c r="R39" i="2"/>
  <c r="X45" i="2"/>
  <c r="V45" i="2"/>
  <c r="W45" i="2"/>
  <c r="G44" i="2"/>
  <c r="H44" i="2"/>
  <c r="I44" i="2"/>
  <c r="X38" i="2"/>
  <c r="V38" i="2"/>
  <c r="W38" i="2"/>
  <c r="Q38" i="2"/>
  <c r="P38" i="2"/>
  <c r="R38" i="2"/>
  <c r="S42" i="2"/>
  <c r="T42" i="2"/>
  <c r="U42" i="2"/>
  <c r="J40" i="2"/>
  <c r="K40" i="2"/>
  <c r="L40" i="2"/>
  <c r="G38" i="2"/>
  <c r="H38" i="2"/>
  <c r="I38" i="2"/>
  <c r="S43" i="2"/>
  <c r="T43" i="2"/>
  <c r="U43" i="2"/>
  <c r="M43" i="2"/>
  <c r="N43" i="2"/>
  <c r="O43" i="2"/>
  <c r="H42" i="2"/>
  <c r="G42" i="2"/>
  <c r="I42" i="2"/>
  <c r="M42" i="2"/>
  <c r="N42" i="2"/>
  <c r="O42" i="2"/>
  <c r="P43" i="2"/>
  <c r="Q43" i="2"/>
  <c r="R43" i="2"/>
  <c r="W39" i="2"/>
  <c r="V39" i="2"/>
  <c r="X39" i="2"/>
  <c r="R45" i="2"/>
  <c r="P45" i="2"/>
  <c r="Q45" i="2"/>
  <c r="AA42" i="2"/>
  <c r="Y42" i="2"/>
  <c r="Z42" i="2"/>
  <c r="S41" i="2"/>
  <c r="T41" i="2"/>
  <c r="U41" i="2"/>
  <c r="J38" i="2"/>
  <c r="K38" i="2"/>
  <c r="L38" i="2"/>
  <c r="G40" i="2"/>
  <c r="H40" i="2"/>
  <c r="I40" i="2"/>
  <c r="U39" i="2"/>
  <c r="S39" i="2"/>
  <c r="T39" i="2"/>
  <c r="V43" i="2"/>
  <c r="W43" i="2"/>
  <c r="X43" i="2"/>
  <c r="L43" i="2"/>
  <c r="K43" i="2"/>
  <c r="J43" i="2"/>
  <c r="J45" i="2"/>
  <c r="K45" i="2"/>
  <c r="L45" i="2"/>
  <c r="N44" i="2"/>
  <c r="O44" i="2"/>
  <c r="M44" i="2"/>
  <c r="U40" i="2"/>
  <c r="S40" i="2"/>
  <c r="T40" i="2"/>
  <c r="Z39" i="2"/>
  <c r="Y39" i="2"/>
  <c r="AA39" i="2"/>
  <c r="Y45" i="2"/>
  <c r="AA45" i="2"/>
  <c r="Z45" i="2"/>
  <c r="T38" i="2"/>
  <c r="S38" i="2"/>
  <c r="U38" i="2"/>
  <c r="N38" i="2"/>
  <c r="M38" i="2"/>
  <c r="O38" i="2"/>
  <c r="U44" i="2"/>
  <c r="T44" i="2"/>
  <c r="S44" i="2"/>
  <c r="X41" i="2"/>
  <c r="V41" i="2"/>
  <c r="W41" i="2"/>
  <c r="Q42" i="2"/>
  <c r="R42" i="2"/>
  <c r="P42" i="2"/>
  <c r="T45" i="2"/>
  <c r="U45" i="2"/>
  <c r="S45" i="2"/>
  <c r="W42" i="2"/>
  <c r="X42" i="2"/>
  <c r="V42" i="2"/>
  <c r="E40" i="2"/>
  <c r="F40" i="2"/>
  <c r="F39" i="2"/>
  <c r="E45" i="2"/>
  <c r="E44" i="2"/>
  <c r="E41" i="2"/>
  <c r="E42" i="2"/>
  <c r="E43" i="2"/>
  <c r="E39" i="2"/>
  <c r="E38" i="2"/>
  <c r="D45" i="2"/>
  <c r="D44" i="2"/>
  <c r="D40" i="2"/>
  <c r="D41" i="2"/>
  <c r="D42" i="2"/>
  <c r="D43" i="2"/>
  <c r="D39" i="2"/>
  <c r="D38" i="2"/>
  <c r="C43" i="2"/>
  <c r="C71" i="2" s="1"/>
  <c r="C45" i="2"/>
  <c r="C73" i="2" s="1"/>
  <c r="C40" i="2"/>
  <c r="C68" i="2" s="1"/>
  <c r="C39" i="2"/>
  <c r="C67" i="2" s="1"/>
  <c r="C41" i="2"/>
  <c r="C69" i="2" s="1"/>
  <c r="C44" i="2"/>
  <c r="C72" i="2" s="1"/>
  <c r="C42" i="2"/>
  <c r="C70" i="2" s="1"/>
  <c r="C38" i="2"/>
  <c r="C66" i="2" s="1"/>
  <c r="J88" i="9" a="1"/>
  <c r="S85" i="9" a="1"/>
  <c r="I82" i="9" a="1"/>
  <c r="R68" i="9" a="1"/>
  <c r="J87" i="9" a="1"/>
  <c r="G81" i="9" a="1"/>
  <c r="Q77" i="9" a="1"/>
  <c r="F74" i="9" a="1"/>
  <c r="Q85" i="9" a="1"/>
  <c r="D67" i="9" a="1"/>
  <c r="D73" i="9" a="1"/>
  <c r="D76" i="9" a="1"/>
  <c r="N85" i="9" a="1"/>
  <c r="O68" i="9" a="1"/>
  <c r="I83" i="9" a="1"/>
  <c r="N73" i="9" a="1"/>
  <c r="M69" i="9" a="1"/>
  <c r="H66" i="9" a="1"/>
  <c r="M76" i="9" a="1"/>
  <c r="M85" i="9" a="1"/>
  <c r="N84" i="9" a="1"/>
  <c r="M77" i="9" a="1"/>
  <c r="Q66" i="9" a="1"/>
  <c r="Q70" i="9" a="1"/>
  <c r="D83" i="9" a="1"/>
  <c r="R87" i="9" a="1"/>
  <c r="F66" i="9" a="1"/>
  <c r="R71" i="9" a="1"/>
  <c r="G75" i="9" a="1"/>
  <c r="S77" i="9" a="1"/>
  <c r="F80" i="9" a="1"/>
  <c r="S70" i="9" a="1"/>
  <c r="J70" i="9" a="1"/>
  <c r="D75" i="9" a="1"/>
  <c r="E78" i="9" a="1"/>
  <c r="R69" i="9" a="1"/>
  <c r="O78" i="9" a="1"/>
  <c r="N75" i="9" a="1"/>
  <c r="I70" i="9" a="1"/>
  <c r="G86" i="9" a="1"/>
  <c r="J83" i="9" a="1"/>
  <c r="K69" i="9" a="1"/>
  <c r="G88" i="9" a="1"/>
  <c r="K67" i="9" a="1"/>
  <c r="K87" i="9" a="1"/>
  <c r="S79" i="9" a="1"/>
  <c r="G74" i="9" a="1"/>
  <c r="R84" i="9" a="1"/>
  <c r="P85" i="9" a="1"/>
  <c r="E67" i="9" a="1"/>
  <c r="E76" i="9" a="1"/>
  <c r="H84" i="9" a="1"/>
  <c r="O80" i="9" a="1"/>
  <c r="N68" i="9" a="1"/>
  <c r="K77" i="9" a="1"/>
  <c r="D74" i="9" a="1"/>
  <c r="L85" i="9" a="1"/>
  <c r="I80" i="9" a="1"/>
  <c r="P66" i="9" a="1"/>
  <c r="E83" i="9" a="1"/>
  <c r="G66" i="9" a="1"/>
  <c r="S71" i="9" a="1"/>
  <c r="J85" i="9" a="1"/>
  <c r="L84" i="9" a="1"/>
  <c r="G80" i="9" a="1"/>
  <c r="I72" i="9" a="1"/>
  <c r="P84" i="9" a="1"/>
  <c r="D88" i="9" a="1"/>
  <c r="E71" i="9" a="1"/>
  <c r="S69" i="9" a="1"/>
  <c r="E66" i="9" a="1"/>
  <c r="N66" i="9" a="1"/>
  <c r="K79" i="9" a="1"/>
  <c r="J71" i="9" a="1"/>
  <c r="M74" i="9" a="1"/>
  <c r="J72" i="9" a="1"/>
  <c r="J69" i="9" a="1"/>
  <c r="N71" i="9" a="1"/>
  <c r="E86" i="9" a="1"/>
  <c r="R85" i="9" a="1"/>
  <c r="S78" i="9" a="1"/>
  <c r="F77" i="9" a="1"/>
  <c r="R79" i="9" a="1"/>
  <c r="P77" i="9" a="1"/>
  <c r="R86" i="9" a="1"/>
  <c r="S84" i="9" a="1"/>
  <c r="E69" i="9" a="1"/>
  <c r="O81" i="9" a="1"/>
  <c r="L69" i="9" a="1"/>
  <c r="H75" i="9" a="1"/>
  <c r="L89" i="9" a="1"/>
  <c r="L76" i="9" a="1"/>
  <c r="K78" i="9" a="1"/>
  <c r="L77" i="9" a="1"/>
  <c r="D80" i="9" a="1"/>
  <c r="P70" i="9" a="1"/>
  <c r="S88" i="9" a="1"/>
  <c r="G85" i="9" a="1"/>
  <c r="I89" i="9" a="1"/>
  <c r="K85" i="9" a="1"/>
  <c r="F75" i="9" a="1"/>
  <c r="K89" i="9" a="1"/>
  <c r="R73" i="9" a="1"/>
  <c r="H81" i="9" a="1"/>
  <c r="Q84" i="9" a="1"/>
  <c r="R83" i="9" a="1"/>
  <c r="D78" i="9" a="1"/>
  <c r="S66" i="9" a="1"/>
  <c r="N78" i="9" a="1"/>
  <c r="O82" i="9" a="1"/>
  <c r="H70" i="9" a="1"/>
  <c r="F86" i="9" a="1"/>
  <c r="I78" i="9" a="1"/>
  <c r="L79" i="9" a="1"/>
  <c r="F68" i="9" a="1"/>
  <c r="F88" i="9" a="1"/>
  <c r="R81" i="9" a="1"/>
  <c r="J67" i="9" a="1"/>
  <c r="I88" i="9" a="1"/>
  <c r="Q73" i="9" a="1"/>
  <c r="S86" i="9" a="1"/>
  <c r="D81" i="9" a="1"/>
  <c r="D69" i="9" a="1"/>
  <c r="O69" i="9" a="1"/>
  <c r="Q67" i="9" a="1"/>
  <c r="N80" i="9" a="1"/>
  <c r="I85" i="9" a="1"/>
  <c r="J77" i="9" a="1"/>
  <c r="M89" i="9" a="1"/>
  <c r="M72" i="9" a="1"/>
  <c r="H80" i="9" a="1"/>
  <c r="M73" i="9" a="1"/>
  <c r="Q68" i="9" a="1"/>
  <c r="E80" i="9" a="1"/>
  <c r="R88" i="9" a="1"/>
  <c r="F85" i="9" a="1"/>
  <c r="I77" i="9" a="1"/>
  <c r="H89" i="9" a="1"/>
  <c r="G71" i="9" a="1"/>
  <c r="J89" i="9" a="1"/>
  <c r="S73" i="9" a="1"/>
  <c r="G76" i="9" a="1"/>
  <c r="H72" i="9" a="1"/>
  <c r="S83" i="9" a="1"/>
  <c r="D71" i="9" a="1"/>
  <c r="I67" i="9" a="1"/>
  <c r="D66" i="9" a="1"/>
  <c r="N74" i="9" a="1"/>
  <c r="N82" i="9" a="1"/>
  <c r="J79" i="9" a="1"/>
  <c r="H71" i="9" a="1"/>
  <c r="K66" i="9" a="1"/>
  <c r="L74" i="9" a="1"/>
  <c r="J80" i="9" a="1"/>
  <c r="M79" i="9" a="1"/>
  <c r="G68" i="9" a="1"/>
  <c r="D86" i="9" a="1"/>
  <c r="S81" i="9" a="1"/>
  <c r="R78" i="9" a="1"/>
  <c r="L67" i="9" a="1"/>
  <c r="G77" i="9" a="1"/>
  <c r="S75" i="9" a="1"/>
  <c r="Q83" i="9" a="1"/>
  <c r="E81" i="9" a="1"/>
  <c r="F83" i="9" a="1"/>
  <c r="P67" i="9" a="1"/>
  <c r="N76" i="9" a="1"/>
  <c r="H85" i="9" a="1"/>
  <c r="N81" i="9" a="1"/>
  <c r="Q74" i="9" a="1"/>
  <c r="H79" i="9" a="1"/>
  <c r="I75" i="9" a="1"/>
  <c r="J78" i="9" a="1"/>
  <c r="I76" i="9" a="1"/>
  <c r="P68" i="9" a="1"/>
  <c r="Q72" i="9" a="1"/>
  <c r="E87" i="9" a="1"/>
  <c r="R80" i="9" a="1"/>
  <c r="K82" i="9" a="1"/>
  <c r="I81" i="9" a="1"/>
  <c r="L83" i="9" a="1"/>
  <c r="P82" i="9" a="1"/>
  <c r="I87" i="9" a="1"/>
  <c r="H67" i="9" a="1"/>
  <c r="R66" i="9" a="1"/>
  <c r="Q89" i="9" a="1"/>
  <c r="K75" i="9" a="1"/>
  <c r="I71" i="9" a="1"/>
  <c r="J66" i="9" a="1"/>
  <c r="M70" i="9" a="1"/>
  <c r="K80" i="9" a="1"/>
  <c r="H78" i="9" a="1"/>
  <c r="M75" i="9" a="1"/>
  <c r="H68" i="9" a="1"/>
  <c r="J84" i="9" a="1"/>
  <c r="R74" i="9" a="1"/>
  <c r="M67" i="9" a="1"/>
  <c r="H88" i="9" a="1"/>
  <c r="G73" i="9" a="1"/>
  <c r="P73" i="9" a="1"/>
  <c r="F82" i="9" a="1"/>
  <c r="F70" i="9" a="1"/>
  <c r="P83" i="9" a="1"/>
  <c r="D77" i="9" a="1"/>
  <c r="G83" i="9" a="1"/>
  <c r="N69" i="9" a="1"/>
  <c r="Q87" i="9" a="1"/>
  <c r="O76" i="9" a="1"/>
  <c r="I79" i="9" a="1"/>
  <c r="M71" i="9" a="1"/>
  <c r="M86" i="9" a="1"/>
  <c r="L72" i="9" a="1"/>
  <c r="K74" i="9" a="1"/>
  <c r="L73" i="9" a="1"/>
  <c r="K73" i="9" a="1"/>
  <c r="D87" i="9" a="1"/>
  <c r="N88" i="9" a="1"/>
  <c r="S80" i="9" a="1"/>
  <c r="H77" i="9" a="1"/>
  <c r="R72" i="9" a="1"/>
  <c r="F71" i="9" a="1"/>
  <c r="M82" i="9" a="1"/>
  <c r="Q79" i="9" a="1"/>
  <c r="F76" i="9" a="1"/>
  <c r="Q71" i="9" a="1"/>
  <c r="Q82" i="9" a="1"/>
  <c r="D79" i="9" a="1"/>
  <c r="H87" i="9" a="1"/>
  <c r="H73" i="9" a="1"/>
  <c r="O74" i="9" a="1"/>
  <c r="I74" i="9" a="1"/>
  <c r="I68" i="9" a="1"/>
  <c r="P78" i="9" a="1"/>
  <c r="D84" i="9" a="1"/>
  <c r="K84" i="9" a="1"/>
  <c r="S74" i="9" a="1"/>
  <c r="R75" i="9" a="1"/>
  <c r="G78" i="9" a="1"/>
  <c r="G82" i="9" a="1"/>
  <c r="G70" i="9" a="1"/>
  <c r="O87" i="9" a="1"/>
  <c r="E77" i="9" a="1"/>
  <c r="K81" i="9" a="1"/>
  <c r="O77" i="9" a="1"/>
  <c r="P74" i="9" a="1"/>
  <c r="L86" i="9" a="1"/>
  <c r="M68" i="9" a="1"/>
  <c r="H76" i="9" a="1"/>
  <c r="P88" i="9" a="1"/>
  <c r="P72" i="9" a="1"/>
  <c r="Q69" i="9" a="1"/>
  <c r="S72" i="9" a="1"/>
  <c r="J82" i="9" a="1"/>
  <c r="G67" i="9" a="1"/>
  <c r="P79" i="9" a="1"/>
  <c r="M83" i="9" a="1"/>
  <c r="O89" i="9" a="1"/>
  <c r="H86" i="9" a="1"/>
  <c r="I73" i="9" a="1"/>
  <c r="P89" i="9" a="1"/>
  <c r="N70" i="9" a="1"/>
  <c r="O79" i="9" a="1"/>
  <c r="J75" i="9" a="1"/>
  <c r="F84" i="9" a="1"/>
  <c r="L87" i="9" a="1"/>
  <c r="L70" i="9" a="1"/>
  <c r="K76" i="9" a="1"/>
  <c r="L75" i="9" a="1"/>
  <c r="Q78" i="9" a="1"/>
  <c r="E84" i="9" a="1"/>
  <c r="S89" i="9" a="1"/>
  <c r="F87" i="9" a="1"/>
  <c r="K68" i="9" a="1"/>
  <c r="K86" i="9" a="1"/>
  <c r="F73" i="9" a="1"/>
  <c r="E72" i="9" a="1"/>
  <c r="J81" i="9" a="1"/>
  <c r="P87" i="9" a="1"/>
  <c r="N72" i="9" a="1"/>
  <c r="G89" i="9" a="1"/>
  <c r="N77" i="9" a="1"/>
  <c r="O67" i="9" a="1"/>
  <c r="L88" i="9" a="1"/>
  <c r="L71" i="9" a="1"/>
  <c r="M80" i="9" a="1"/>
  <c r="J74" i="9" a="1"/>
  <c r="J73" i="9" a="1"/>
  <c r="D85" i="9" a="1"/>
  <c r="O88" i="9" a="1"/>
  <c r="S76" i="9" a="1"/>
  <c r="F79" i="9" a="1"/>
  <c r="L82" i="9" a="1"/>
  <c r="Q75" i="9" a="1"/>
  <c r="F72" i="9" a="1"/>
  <c r="P71" i="9" a="1"/>
  <c r="P86" i="9" a="1"/>
  <c r="N89" i="9" a="1"/>
  <c r="E79" i="9" a="1"/>
  <c r="R82" i="9" a="1"/>
  <c r="I86" i="9" a="1"/>
  <c r="N86" i="9" a="1"/>
  <c r="O70" i="9" a="1"/>
  <c r="N79" i="9" a="1"/>
  <c r="E70" i="9" a="1"/>
  <c r="G84" i="9" a="1"/>
  <c r="M87" i="9" a="1"/>
  <c r="M66" i="9" a="1"/>
  <c r="H74" i="9" a="1"/>
  <c r="O83" i="9" a="1"/>
  <c r="D89" i="9" a="1"/>
  <c r="G87" i="9" a="1"/>
  <c r="J86" i="9" a="1"/>
  <c r="G69" i="9" a="1"/>
  <c r="Q81" i="9" a="1"/>
  <c r="F78" i="9" a="1"/>
  <c r="D68" i="9" a="1"/>
  <c r="N87" i="9" a="1"/>
  <c r="E73" i="9" a="1"/>
  <c r="E82" i="9" a="1"/>
  <c r="O85" i="9" a="1"/>
  <c r="O72" i="9" a="1"/>
  <c r="F89" i="9" a="1"/>
  <c r="O73" i="9" a="1"/>
  <c r="M88" i="9" a="1"/>
  <c r="I66" i="9" a="1"/>
  <c r="L68" i="9" a="1"/>
  <c r="O84" i="9" a="1"/>
  <c r="L81" i="9" a="1"/>
  <c r="Q88" i="9" a="1"/>
  <c r="P76" i="9" a="1"/>
  <c r="P80" i="9" a="1"/>
  <c r="E85" i="9" a="1"/>
  <c r="S87" i="9" a="1"/>
  <c r="P69" i="9" a="1"/>
  <c r="R67" i="9" a="1"/>
  <c r="G79" i="9" a="1"/>
  <c r="F67" i="9" a="1"/>
  <c r="G72" i="9" a="1"/>
  <c r="K70" i="9" a="1"/>
  <c r="E75" i="9" a="1"/>
  <c r="H69" i="9" a="1"/>
  <c r="O75" i="9" a="1"/>
  <c r="M78" i="9" a="1"/>
  <c r="L66" i="9" a="1"/>
  <c r="J76" i="9" a="1"/>
  <c r="K83" i="9" a="1"/>
  <c r="E89" i="9" a="1"/>
  <c r="K88" i="9" a="1"/>
  <c r="R89" i="9" a="1"/>
  <c r="H82" i="9" a="1"/>
  <c r="S68" i="9" a="1"/>
  <c r="J68" i="9" a="1"/>
  <c r="F81" i="9" a="1"/>
  <c r="F69" i="9" a="1"/>
  <c r="P81" i="9" a="1"/>
  <c r="E68" i="9" a="1"/>
  <c r="D72" i="9" a="1"/>
  <c r="D82" i="9" a="1"/>
  <c r="I84" i="9" a="1"/>
  <c r="H83" i="9" a="1"/>
  <c r="N67" i="9" a="1"/>
  <c r="E74" i="9" a="1"/>
  <c r="L80" i="9" a="1"/>
  <c r="M81" i="9" a="1"/>
  <c r="Q76" i="9" a="1"/>
  <c r="Q80" i="9" a="1"/>
  <c r="R76" i="9" a="1"/>
  <c r="S67" i="9" a="1"/>
  <c r="M84" i="9" a="1"/>
  <c r="R77" i="9" a="1"/>
  <c r="P75" i="9" a="1"/>
  <c r="R70" i="9" a="1"/>
  <c r="Q86" i="9" a="1"/>
  <c r="E88" i="9" a="1"/>
  <c r="S82" i="9" a="1"/>
  <c r="I69" i="9" a="1"/>
  <c r="O86" i="9" a="1"/>
  <c r="O66" i="9" a="1"/>
  <c r="D70" i="9" a="1"/>
  <c r="K71" i="9" a="1"/>
  <c r="L78" i="9" a="1"/>
  <c r="K72" i="9" a="1"/>
  <c r="N83" i="9" a="1"/>
  <c r="O71" i="9" a="1"/>
  <c r="Q82" i="8" a="1"/>
  <c r="K68" i="8" a="1"/>
  <c r="K76" i="8" a="1"/>
  <c r="G75" i="8" a="1"/>
  <c r="H81" i="8" a="1"/>
  <c r="Q69" i="8" a="1"/>
  <c r="P76" i="8" a="1"/>
  <c r="O83" i="8" a="1"/>
  <c r="M67" i="8" a="1"/>
  <c r="N82" i="8" a="1"/>
  <c r="D88" i="8" a="1"/>
  <c r="L83" i="8" a="1"/>
  <c r="D68" i="8" a="1"/>
  <c r="M76" i="8" a="1"/>
  <c r="K82" i="8" a="1"/>
  <c r="N79" i="8" a="1"/>
  <c r="K74" i="8" a="1"/>
  <c r="Q71" i="8" a="1"/>
  <c r="I75" i="8" a="1"/>
  <c r="I74" i="8" a="1"/>
  <c r="M81" i="8" a="1"/>
  <c r="Q66" i="8" a="1"/>
  <c r="S71" i="8" a="1"/>
  <c r="S78" i="8" a="1"/>
  <c r="R74" i="8" a="1"/>
  <c r="R81" i="8" a="1"/>
  <c r="K79" i="8" a="1"/>
  <c r="J84" i="8" a="1"/>
  <c r="J69" i="8" a="1"/>
  <c r="P67" i="8" a="1"/>
  <c r="G66" i="8" a="1"/>
  <c r="E87" i="8" a="1"/>
  <c r="D81" i="8" a="1"/>
  <c r="G84" i="8" a="1"/>
  <c r="P74" i="8" a="1"/>
  <c r="N75" i="8" a="1"/>
  <c r="E79" i="8" a="1"/>
  <c r="N84" i="8" a="1"/>
  <c r="Q88" i="8" a="1"/>
  <c r="F68" i="8" a="1"/>
  <c r="G76" i="8" a="1"/>
  <c r="H72" i="8" a="1"/>
  <c r="M74" i="8" a="1"/>
  <c r="H68" i="8" a="1"/>
  <c r="P69" i="8" a="1"/>
  <c r="H76" i="8" a="1"/>
  <c r="I66" i="8" a="1"/>
  <c r="E86" i="8" a="1"/>
  <c r="J86" i="8" a="1"/>
  <c r="K72" i="8" a="1"/>
  <c r="N73" i="8" a="1"/>
  <c r="J82" i="8" a="1"/>
  <c r="J87" i="8" a="1"/>
  <c r="P71" i="8" a="1"/>
  <c r="Q89" i="8" a="1"/>
  <c r="Q83" i="8" a="1"/>
  <c r="K71" i="8" a="1"/>
  <c r="L81" i="8" a="1"/>
  <c r="S86" i="8" a="1"/>
  <c r="S70" i="8" a="1"/>
  <c r="S77" i="8" a="1"/>
  <c r="S85" i="8" a="1"/>
  <c r="R86" i="8" a="1"/>
  <c r="N89" i="8" a="1"/>
  <c r="Q79" i="8" a="1"/>
  <c r="K69" i="8" a="1"/>
  <c r="M75" i="8" a="1"/>
  <c r="D87" i="8" a="1"/>
  <c r="H88" i="8" a="1"/>
  <c r="H78" i="8" a="1"/>
  <c r="F67" i="8" a="1"/>
  <c r="Q74" i="8" a="1"/>
  <c r="M79" i="8" a="1"/>
  <c r="E76" i="8" a="1"/>
  <c r="P82" i="8" a="1"/>
  <c r="K81" i="8" a="1"/>
  <c r="J68" i="8" a="1"/>
  <c r="J67" i="8" a="1"/>
  <c r="J76" i="8" a="1"/>
  <c r="L87" i="8" a="1"/>
  <c r="I68" i="8" a="1"/>
  <c r="I86" i="8" a="1"/>
  <c r="L67" i="8" a="1"/>
  <c r="D86" i="8" a="1"/>
  <c r="K86" i="8" a="1"/>
  <c r="O78" i="8" a="1"/>
  <c r="E72" i="8" a="1"/>
  <c r="L76" i="8" a="1"/>
  <c r="H80" i="8" a="1"/>
  <c r="K87" i="8" a="1"/>
  <c r="J74" i="8" a="1"/>
  <c r="M73" i="8" a="1"/>
  <c r="P83" i="8" a="1"/>
  <c r="J71" i="8" a="1"/>
  <c r="H74" i="8" a="1"/>
  <c r="M69" i="8" a="1"/>
  <c r="R80" i="8" a="1"/>
  <c r="R66" i="8" a="1"/>
  <c r="R73" i="8" a="1"/>
  <c r="S84" i="8" a="1"/>
  <c r="R85" i="8" a="1"/>
  <c r="J79" i="8" a="1"/>
  <c r="I89" i="8" a="1"/>
  <c r="P79" i="8" a="1"/>
  <c r="O68" i="8" a="1"/>
  <c r="F66" i="8" a="1"/>
  <c r="E85" i="8" a="1"/>
  <c r="I88" i="8" a="1"/>
  <c r="F84" i="8" a="1"/>
  <c r="M88" i="8" a="1"/>
  <c r="O70" i="8" a="1"/>
  <c r="D79" i="8" a="1"/>
  <c r="D76" i="8" a="1"/>
  <c r="P88" i="8" a="1"/>
  <c r="Q80" i="8" a="1"/>
  <c r="F76" i="8" a="1"/>
  <c r="K67" i="8" a="1"/>
  <c r="L74" i="8" a="1"/>
  <c r="M87" i="8" a="1"/>
  <c r="Q68" i="8" a="1"/>
  <c r="E80" i="8" a="1"/>
  <c r="H86" i="8" a="1"/>
  <c r="I83" i="8" a="1"/>
  <c r="H66" i="8" a="1"/>
  <c r="E70" i="8" a="1"/>
  <c r="E77" i="8" a="1"/>
  <c r="K80" i="8" a="1"/>
  <c r="J72" i="8" a="1"/>
  <c r="O67" i="8" a="1"/>
  <c r="D72" i="8" a="1"/>
  <c r="J85" i="8" a="1"/>
  <c r="I80" i="8" a="1"/>
  <c r="I70" i="8" a="1"/>
  <c r="P89" i="8" a="1"/>
  <c r="G70" i="8" a="1"/>
  <c r="S76" i="8" a="1"/>
  <c r="S75" i="8" a="1"/>
  <c r="R72" i="8" a="1"/>
  <c r="S83" i="8" a="1"/>
  <c r="R84" i="8" a="1"/>
  <c r="F78" i="8" a="1"/>
  <c r="L75" i="8" a="1"/>
  <c r="M71" i="8" a="1"/>
  <c r="G86" i="8" a="1"/>
  <c r="G67" i="8" a="1"/>
  <c r="L79" i="8" a="1"/>
  <c r="P78" i="8" a="1"/>
  <c r="P86" i="8" a="1"/>
  <c r="J81" i="8" a="1"/>
  <c r="M84" i="8" a="1"/>
  <c r="L72" i="8" a="1"/>
  <c r="M82" i="8" a="1"/>
  <c r="D80" i="8" a="1"/>
  <c r="M68" i="8" a="1"/>
  <c r="H79" i="8" a="1"/>
  <c r="D70" i="8" a="1"/>
  <c r="J80" i="8" a="1"/>
  <c r="N78" i="8" a="1"/>
  <c r="M80" i="8" a="1"/>
  <c r="K85" i="8" a="1"/>
  <c r="O80" i="8" a="1"/>
  <c r="L73" i="8" a="1"/>
  <c r="Q87" i="8" a="1"/>
  <c r="Q81" i="8" a="1"/>
  <c r="F70" i="8" a="1"/>
  <c r="M66" i="8" a="1"/>
  <c r="L69" i="8" a="1"/>
  <c r="R70" i="8" a="1"/>
  <c r="S74" i="8" a="1"/>
  <c r="R71" i="8" a="1"/>
  <c r="R79" i="8" a="1"/>
  <c r="S88" i="8" a="1"/>
  <c r="J77" i="8" a="1"/>
  <c r="H89" i="8" a="1"/>
  <c r="G87" i="8" a="1"/>
  <c r="G78" i="8" a="1"/>
  <c r="N68" i="8" a="1"/>
  <c r="O72" i="8" a="1"/>
  <c r="G88" i="8" a="1"/>
  <c r="D85" i="8" a="1"/>
  <c r="L88" i="8" a="1"/>
  <c r="I73" i="8" a="1"/>
  <c r="N70" i="8" a="1"/>
  <c r="M77" i="8" a="1"/>
  <c r="Q78" i="8" a="1"/>
  <c r="O74" i="8" a="1"/>
  <c r="D73" i="8" a="1"/>
  <c r="Q86" i="8" a="1"/>
  <c r="P80" i="8" a="1"/>
  <c r="M72" i="8" a="1"/>
  <c r="E74" i="8" a="1"/>
  <c r="K83" i="8" a="1"/>
  <c r="P68" i="8" a="1"/>
  <c r="H83" i="8" a="1"/>
  <c r="G80" i="8" a="1"/>
  <c r="I79" i="8" a="1"/>
  <c r="E71" i="8" a="1"/>
  <c r="E84" i="8" a="1"/>
  <c r="D77" i="8" a="1"/>
  <c r="N88" i="8" a="1"/>
  <c r="H67" i="8" a="1"/>
  <c r="N67" i="8" a="1"/>
  <c r="E69" i="8" a="1"/>
  <c r="H70" i="8" a="1"/>
  <c r="P81" i="8" a="1"/>
  <c r="I82" i="8" a="1"/>
  <c r="S66" i="8" a="1"/>
  <c r="S73" i="8" a="1"/>
  <c r="S82" i="8" a="1"/>
  <c r="R78" i="8" a="1"/>
  <c r="R87" i="8" a="1"/>
  <c r="K77" i="8" a="1"/>
  <c r="F69" i="8" a="1"/>
  <c r="F77" i="8" a="1"/>
  <c r="I84" i="8" a="1"/>
  <c r="L71" i="8" a="1"/>
  <c r="G85" i="8" a="1"/>
  <c r="F86" i="8" a="1"/>
  <c r="N77" i="8" a="1"/>
  <c r="E75" i="8" a="1"/>
  <c r="O76" i="8" a="1"/>
  <c r="E73" i="8" a="1"/>
  <c r="H71" i="8" a="1"/>
  <c r="O87" i="8" a="1"/>
  <c r="Q77" i="8" a="1"/>
  <c r="L84" i="8" a="1"/>
  <c r="P70" i="8" a="1"/>
  <c r="D74" i="8" a="1"/>
  <c r="F71" i="8" a="1"/>
  <c r="L82" i="8" a="1"/>
  <c r="M86" i="8" a="1"/>
  <c r="F81" i="8" a="1"/>
  <c r="L68" i="8" a="1"/>
  <c r="D84" i="8" a="1"/>
  <c r="F83" i="8" a="1"/>
  <c r="I67" i="8" a="1"/>
  <c r="O71" i="8" a="1"/>
  <c r="L80" i="8" a="1"/>
  <c r="G74" i="8" a="1"/>
  <c r="Q75" i="8" a="1"/>
  <c r="N80" i="8" a="1"/>
  <c r="P87" i="8" a="1"/>
  <c r="I85" i="8" a="1"/>
  <c r="L66" i="8" a="1"/>
  <c r="M70" i="8" a="1"/>
  <c r="F89" i="8" a="1"/>
  <c r="S89" i="8" a="1"/>
  <c r="R69" i="8" a="1"/>
  <c r="S81" i="8" a="1"/>
  <c r="R77" i="8" a="1"/>
  <c r="S69" i="8" a="1"/>
  <c r="G69" i="8" a="1"/>
  <c r="F87" i="8" a="1"/>
  <c r="G77" i="8" a="1"/>
  <c r="N72" i="8" a="1"/>
  <c r="H84" i="8" a="1"/>
  <c r="F88" i="8" a="1"/>
  <c r="D89" i="8" a="1"/>
  <c r="D83" i="8" a="1"/>
  <c r="F85" i="8" a="1"/>
  <c r="J89" i="8" a="1"/>
  <c r="O77" i="8" a="1"/>
  <c r="H73" i="8" a="1"/>
  <c r="Q72" i="8" a="1"/>
  <c r="L77" i="8" a="1"/>
  <c r="N74" i="8" a="1"/>
  <c r="Q84" i="8" a="1"/>
  <c r="P77" i="8" a="1"/>
  <c r="O66" i="8" a="1"/>
  <c r="E78" i="8" a="1"/>
  <c r="Q70" i="8" a="1"/>
  <c r="K78" i="8" a="1"/>
  <c r="G71" i="8" a="1"/>
  <c r="J83" i="8" a="1"/>
  <c r="I77" i="8" a="1"/>
  <c r="L86" i="8" a="1"/>
  <c r="G81" i="8" a="1"/>
  <c r="F80" i="8" a="1"/>
  <c r="K66" i="8" a="1"/>
  <c r="Q73" i="8" a="1"/>
  <c r="D71" i="8" a="1"/>
  <c r="G83" i="8" a="1"/>
  <c r="O88" i="8" a="1"/>
  <c r="J70" i="8" a="1"/>
  <c r="D69" i="8" a="1"/>
  <c r="M78" i="8" a="1"/>
  <c r="P75" i="8" a="1"/>
  <c r="E67" i="8" a="1"/>
  <c r="N81" i="8" a="1"/>
  <c r="H85" i="8" a="1"/>
  <c r="H82" i="8" a="1"/>
  <c r="G89" i="8" a="1"/>
  <c r="R89" i="8" a="1"/>
  <c r="R68" i="8" a="1"/>
  <c r="S80" i="8" a="1"/>
  <c r="S87" i="8" a="1"/>
  <c r="S68" i="8" a="1"/>
  <c r="K75" i="8" a="1"/>
  <c r="G82" i="8" a="1"/>
  <c r="O85" i="8" a="1"/>
  <c r="I69" i="8" a="1"/>
  <c r="E89" i="8" a="1"/>
  <c r="E83" i="8" a="1"/>
  <c r="G72" i="8" a="1"/>
  <c r="K89" i="8" a="1"/>
  <c r="D75" i="8" a="1"/>
  <c r="N76" i="8" a="1"/>
  <c r="N69" i="8" a="1"/>
  <c r="N87" i="8" a="1"/>
  <c r="I87" i="8" a="1"/>
  <c r="D78" i="8" a="1"/>
  <c r="I81" i="8" a="1"/>
  <c r="J73" i="8" a="1"/>
  <c r="H77" i="8" a="1"/>
  <c r="M89" i="8" a="1"/>
  <c r="P73" i="8" a="1"/>
  <c r="E88" i="8" a="1"/>
  <c r="E82" i="8" a="1"/>
  <c r="K70" i="8" a="1"/>
  <c r="N71" i="8" a="1"/>
  <c r="F74" i="8" a="1"/>
  <c r="O79" i="8" a="1"/>
  <c r="O81" i="8" a="1"/>
  <c r="Q85" i="8" a="1"/>
  <c r="F79" i="8" a="1"/>
  <c r="M85" i="8" a="1"/>
  <c r="L70" i="8" a="1"/>
  <c r="R88" i="8" a="1"/>
  <c r="R67" i="8" a="1"/>
  <c r="R76" i="8" a="1"/>
  <c r="R83" i="8" a="1"/>
  <c r="S67" i="8" a="1"/>
  <c r="J75" i="8" a="1"/>
  <c r="I71" i="8" a="1"/>
  <c r="F73" i="8" a="1"/>
  <c r="H69" i="8" a="1"/>
  <c r="E81" i="8" a="1"/>
  <c r="E66" i="8" a="1"/>
  <c r="P72" i="8" a="1"/>
  <c r="O75" i="8" a="1"/>
  <c r="K88" i="8" a="1"/>
  <c r="N86" i="8" a="1"/>
  <c r="O69" i="8" a="1"/>
  <c r="P84" i="8" a="1"/>
  <c r="G68" i="8" a="1"/>
  <c r="H87" i="8" a="1"/>
  <c r="N66" i="8" a="1"/>
  <c r="I72" i="8" a="1"/>
  <c r="J78" i="8" a="1"/>
  <c r="F75" i="8" a="1"/>
  <c r="K73" i="8" a="1"/>
  <c r="Q76" i="8" a="1"/>
  <c r="L89" i="8" a="1"/>
  <c r="I76" i="8" a="1"/>
  <c r="N83" i="8" a="1"/>
  <c r="J66" i="8" a="1"/>
  <c r="O82" i="8" a="1"/>
  <c r="D82" i="8" a="1"/>
  <c r="M83" i="8" a="1"/>
  <c r="O73" i="8" a="1"/>
  <c r="E68" i="8" a="1"/>
  <c r="L78" i="8" a="1"/>
  <c r="D67" i="8" a="1"/>
  <c r="H75" i="8" a="1"/>
  <c r="P85" i="8" a="1"/>
  <c r="G79" i="8" a="1"/>
  <c r="L85" i="8" a="1"/>
  <c r="P66" i="8" a="1"/>
  <c r="S72" i="8" a="1"/>
  <c r="S79" i="8" a="1"/>
  <c r="R75" i="8" a="1"/>
  <c r="R82" i="8" a="1"/>
  <c r="R65" i="8" a="1"/>
  <c r="O89" i="8" a="1"/>
  <c r="K84" i="8" a="1"/>
  <c r="F82" i="8" a="1"/>
  <c r="Q67" i="8" a="1"/>
  <c r="N85" i="8" a="1"/>
  <c r="G73" i="8" a="1"/>
  <c r="F72" i="8" a="1"/>
  <c r="I78" i="8" a="1"/>
  <c r="D66" i="8" a="1"/>
  <c r="J88" i="8" a="1"/>
  <c r="O84" i="8" a="1"/>
  <c r="O86" i="8" a="1"/>
  <c r="I86" i="7" a="1"/>
  <c r="Q80" i="7" a="1"/>
  <c r="G76" i="7" a="1"/>
  <c r="F88" i="7" a="1"/>
  <c r="J86" i="7" a="1"/>
  <c r="J87" i="7" a="1"/>
  <c r="H76" i="7" a="1"/>
  <c r="L83" i="7" a="1"/>
  <c r="S83" i="7" a="1"/>
  <c r="Q81" i="7" a="1"/>
  <c r="J83" i="7" a="1"/>
  <c r="H83" i="7" a="1"/>
  <c r="E74" i="7" a="1"/>
  <c r="I80" i="7" a="1"/>
  <c r="D89" i="7" a="1"/>
  <c r="J79" i="7" a="1"/>
  <c r="F87" i="7" a="1"/>
  <c r="M87" i="7" a="1"/>
  <c r="O76" i="7" a="1"/>
  <c r="H78" i="7" a="1"/>
  <c r="I89" i="7" a="1"/>
  <c r="Q78" i="7" a="1"/>
  <c r="F78" i="7" a="1"/>
  <c r="M88" i="7" a="1"/>
  <c r="P89" i="7" a="1"/>
  <c r="R87" i="7" a="1"/>
  <c r="J76" i="7" a="1"/>
  <c r="G82" i="7" a="1"/>
  <c r="O84" i="7" a="1"/>
  <c r="D76" i="7" a="1"/>
  <c r="L73" i="7" a="1"/>
  <c r="K73" i="7" a="1"/>
  <c r="R73" i="7" a="1"/>
  <c r="H86" i="7" a="1"/>
  <c r="P80" i="7" a="1"/>
  <c r="I79" i="7" a="1"/>
  <c r="S88" i="7" a="1"/>
  <c r="I76" i="7" a="1"/>
  <c r="N81" i="7" a="1"/>
  <c r="R83" i="7" a="1"/>
  <c r="K89" i="7" a="1"/>
  <c r="S81" i="7" a="1"/>
  <c r="P87" i="7" a="1"/>
  <c r="P82" i="7" a="1"/>
  <c r="I87" i="7" a="1"/>
  <c r="R77" i="7" a="1"/>
  <c r="K79" i="7" a="1"/>
  <c r="L87" i="7" a="1"/>
  <c r="P75" i="7" a="1"/>
  <c r="H89" i="7" a="1"/>
  <c r="K80" i="7" a="1"/>
  <c r="K81" i="7" a="1"/>
  <c r="F82" i="7" a="1"/>
  <c r="L89" i="7" a="1"/>
  <c r="P79" i="7" a="1"/>
  <c r="E86" i="7" a="1"/>
  <c r="N82" i="7" a="1"/>
  <c r="I73" i="7" a="1"/>
  <c r="K77" i="7" a="1"/>
  <c r="H79" i="7" a="1"/>
  <c r="G88" i="7" a="1"/>
  <c r="I88" i="7" a="1"/>
  <c r="M77" i="7" a="1"/>
  <c r="K87" i="7" a="1"/>
  <c r="D80" i="7" a="1"/>
  <c r="M74" i="7" a="1"/>
  <c r="R81" i="7" a="1"/>
  <c r="K83" i="7" a="1"/>
  <c r="F89" i="7" a="1"/>
  <c r="Q82" i="7" a="1"/>
  <c r="D84" i="7" a="1"/>
  <c r="H87" i="7" a="1"/>
  <c r="S77" i="7" a="1"/>
  <c r="E81" i="7" a="1"/>
  <c r="G87" i="7" a="1"/>
  <c r="N89" i="7" a="1"/>
  <c r="I78" i="7" a="1"/>
  <c r="Q84" i="7" a="1"/>
  <c r="J80" i="7" a="1"/>
  <c r="I81" i="7" a="1"/>
  <c r="Q88" i="7" a="1"/>
  <c r="Q89" i="7" a="1"/>
  <c r="S75" i="7" a="1"/>
  <c r="J81" i="7" a="1"/>
  <c r="L86" i="7" a="1"/>
  <c r="E76" i="7" a="1"/>
  <c r="L84" i="7" a="1"/>
  <c r="O85" i="7" a="1"/>
  <c r="K88" i="7" a="1"/>
  <c r="J77" i="7" a="1"/>
  <c r="N85" i="7" a="1"/>
  <c r="H88" i="7" a="1"/>
  <c r="L77" i="7" a="1"/>
  <c r="R80" i="7" a="1"/>
  <c r="O81" i="7" a="1"/>
  <c r="D78" i="7" a="1"/>
  <c r="L74" i="7" a="1"/>
  <c r="Q87" i="7" a="1"/>
  <c r="O75" i="7" a="1"/>
  <c r="L76" i="7" a="1"/>
  <c r="K84" i="7" a="1"/>
  <c r="D81" i="7" a="1"/>
  <c r="R86" i="7" a="1"/>
  <c r="Q75" i="7" a="1"/>
  <c r="D82" i="7" a="1"/>
  <c r="M85" i="7" a="1"/>
  <c r="P84" i="7" a="1"/>
  <c r="K85" i="7" a="1"/>
  <c r="H81" i="7" a="1"/>
  <c r="P88" i="7" a="1"/>
  <c r="P85" i="7" a="1"/>
  <c r="I85" i="7" a="1"/>
  <c r="Q79" i="7" a="1"/>
  <c r="F79" i="7" a="1"/>
  <c r="M84" i="7" a="1"/>
  <c r="O82" i="7" a="1"/>
  <c r="H73" i="7" a="1"/>
  <c r="E83" i="7" a="1"/>
  <c r="H74" i="7" a="1"/>
  <c r="S80" i="7" a="1"/>
  <c r="E80" i="7" a="1"/>
  <c r="L80" i="7" a="1"/>
  <c r="E77" i="7" a="1"/>
  <c r="G89" i="7" a="1"/>
  <c r="N75" i="7" a="1"/>
  <c r="E84" i="7" a="1"/>
  <c r="R82" i="7" a="1"/>
  <c r="J84" i="7" a="1"/>
  <c r="F84" i="7" a="1"/>
  <c r="O89" i="7" a="1"/>
  <c r="R78" i="7" a="1"/>
  <c r="L85" i="7" a="1"/>
  <c r="N78" i="7" a="1"/>
  <c r="J85" i="7" a="1"/>
  <c r="R75" i="7" a="1"/>
  <c r="I75" i="7" a="1"/>
  <c r="H85" i="7" a="1"/>
  <c r="M86" i="7" a="1"/>
  <c r="L78" i="7" a="1"/>
  <c r="E73" i="7" a="1"/>
  <c r="J88" i="7" a="1"/>
  <c r="D83" i="7" a="1"/>
  <c r="P83" i="7" a="1"/>
  <c r="F83" i="7" a="1"/>
  <c r="E78" i="7" a="1"/>
  <c r="M75" i="7" a="1"/>
  <c r="D77" i="7" a="1"/>
  <c r="G86" i="7" a="1"/>
  <c r="R89" i="7" a="1"/>
  <c r="N86" i="7" a="1"/>
  <c r="M76" i="7" a="1"/>
  <c r="S86" i="7" a="1"/>
  <c r="R84" i="7" a="1"/>
  <c r="E82" i="7" a="1"/>
  <c r="N74" i="7" a="1"/>
  <c r="E85" i="7" a="1"/>
  <c r="M79" i="7" a="1"/>
  <c r="Q85" i="7" a="1"/>
  <c r="R85" i="7" a="1"/>
  <c r="H75" i="7" a="1"/>
  <c r="N80" i="7" a="1"/>
  <c r="M78" i="7" a="1"/>
  <c r="G79" i="7" a="1"/>
  <c r="O73" i="7" a="1"/>
  <c r="K82" i="7" a="1"/>
  <c r="P86" i="7" a="1"/>
  <c r="I74" i="7" a="1"/>
  <c r="R76" i="7" a="1"/>
  <c r="M80" i="7" a="1"/>
  <c r="I84" i="7" a="1"/>
  <c r="N87" i="7" a="1"/>
  <c r="L75" i="7" a="1"/>
  <c r="F80" i="7" a="1"/>
  <c r="F86" i="7" a="1"/>
  <c r="S89" i="7" a="1"/>
  <c r="F77" i="7" a="1"/>
  <c r="S82" i="7" a="1"/>
  <c r="G74" i="7" a="1"/>
  <c r="G84" i="7" a="1"/>
  <c r="S78" i="7" a="1"/>
  <c r="F85" i="7" a="1"/>
  <c r="O78" i="7" a="1"/>
  <c r="E75" i="7" a="1"/>
  <c r="D85" i="7" a="1"/>
  <c r="L79" i="7" a="1"/>
  <c r="O77" i="7" a="1"/>
  <c r="L82" i="7" a="1"/>
  <c r="N79" i="7" a="1"/>
  <c r="D73" i="7" a="1"/>
  <c r="F73" i="7" a="1"/>
  <c r="Q76" i="7" a="1"/>
  <c r="J82" i="7" a="1"/>
  <c r="Q83" i="7" a="1"/>
  <c r="F81" i="7" a="1"/>
  <c r="S76" i="7" a="1"/>
  <c r="G83" i="7" a="1"/>
  <c r="R74" i="7" a="1"/>
  <c r="O87" i="7" a="1"/>
  <c r="G80" i="7" a="1"/>
  <c r="P77" i="7" a="1"/>
  <c r="O86" i="7" a="1"/>
  <c r="K74" i="7" a="1"/>
  <c r="F74" i="7" a="1"/>
  <c r="D88" i="7" a="1"/>
  <c r="O88" i="7" a="1"/>
  <c r="S84" i="7" a="1"/>
  <c r="F75" i="7" a="1"/>
  <c r="O74" i="7" a="1"/>
  <c r="J75" i="7" a="1"/>
  <c r="D75" i="7" a="1"/>
  <c r="N77" i="7" a="1"/>
  <c r="S85" i="7" a="1"/>
  <c r="O80" i="7" a="1"/>
  <c r="H82" i="7" a="1"/>
  <c r="O79" i="7" a="1"/>
  <c r="N73" i="7" a="1"/>
  <c r="G73" i="7" a="1"/>
  <c r="I82" i="7" a="1"/>
  <c r="P76" i="7" a="1"/>
  <c r="F76" i="7" a="1"/>
  <c r="D87" i="7" a="1"/>
  <c r="Q86" i="7" a="1"/>
  <c r="H84" i="7" a="1"/>
  <c r="P81" i="7" a="1"/>
  <c r="K78" i="7" a="1"/>
  <c r="D74" i="7" a="1"/>
  <c r="G77" i="7" a="1"/>
  <c r="P74" i="7" a="1"/>
  <c r="J74" i="7" a="1"/>
  <c r="I77" i="7" a="1"/>
  <c r="N88" i="7" a="1"/>
  <c r="N76" i="7" a="1"/>
  <c r="G85" i="7" a="1"/>
  <c r="P78" i="7" a="1"/>
  <c r="M81" i="7" a="1"/>
  <c r="E79" i="7" a="1"/>
  <c r="M82" i="7" a="1"/>
  <c r="N84" i="7" a="1"/>
  <c r="R79" i="7" a="1"/>
  <c r="O83" i="7" a="1"/>
  <c r="M73" i="7" a="1"/>
  <c r="P73" i="7" a="1"/>
  <c r="E87" i="7" a="1"/>
  <c r="R88" i="7" a="1"/>
  <c r="K86" i="7" a="1"/>
  <c r="G81" i="7" a="1"/>
  <c r="M83" i="7" a="1"/>
  <c r="S74" i="7" a="1"/>
  <c r="J89" i="7" a="1"/>
  <c r="J78" i="7" a="1"/>
  <c r="I83" i="7" a="1"/>
  <c r="Q77" i="7" a="1"/>
  <c r="H80" i="7" a="1"/>
  <c r="E89" i="7" a="1"/>
  <c r="Q74" i="7" a="1"/>
  <c r="H77" i="7" a="1"/>
  <c r="E88" i="7" a="1"/>
  <c r="G75" i="7" a="1"/>
  <c r="K75" i="7" a="1"/>
  <c r="G78" i="7" a="1"/>
  <c r="L88" i="7" a="1"/>
  <c r="L81" i="7" a="1"/>
  <c r="S87" i="7" a="1"/>
  <c r="K76" i="7" a="1"/>
  <c r="D79" i="7" a="1"/>
  <c r="M89" i="7" a="1"/>
  <c r="S79" i="7" a="1"/>
  <c r="D86" i="7" a="1"/>
  <c r="N83" i="7" a="1"/>
  <c r="Q73" i="7" a="1"/>
  <c r="J73" i="7" a="1"/>
  <c r="S73" i="7" a="1"/>
  <c r="M70" i="7" a="1"/>
  <c r="G70" i="7" a="1"/>
  <c r="N67" i="7" a="1"/>
  <c r="E72" i="7" a="1"/>
  <c r="N69" i="7" a="1"/>
  <c r="L69" i="7" a="1"/>
  <c r="O72" i="7" a="1"/>
  <c r="N68" i="7" a="1"/>
  <c r="M68" i="7" a="1"/>
  <c r="Q66" i="7" a="1"/>
  <c r="O67" i="7" a="1"/>
  <c r="O69" i="7" a="1"/>
  <c r="P72" i="7" a="1"/>
  <c r="K70" i="7" a="1"/>
  <c r="F70" i="7" a="1"/>
  <c r="D70" i="7" a="1"/>
  <c r="G72" i="7" a="1"/>
  <c r="E67" i="7" a="1"/>
  <c r="I72" i="7" a="1"/>
  <c r="N72" i="7" a="1"/>
  <c r="K72" i="7" a="1"/>
  <c r="J71" i="7" a="1"/>
  <c r="Q68" i="7" a="1"/>
  <c r="Q69" i="7" a="1"/>
  <c r="F71" i="7" a="1"/>
  <c r="I70" i="7" a="1"/>
  <c r="J67" i="7" a="1"/>
  <c r="E70" i="7" a="1"/>
  <c r="H72" i="7" a="1"/>
  <c r="I71" i="7" a="1"/>
  <c r="K71" i="7" a="1"/>
  <c r="Q67" i="7" a="1"/>
  <c r="G71" i="7" a="1"/>
  <c r="J70" i="7" a="1"/>
  <c r="H70" i="7" a="1"/>
  <c r="F67" i="7" a="1"/>
  <c r="K67" i="7" a="1"/>
  <c r="I66" i="7" a="1"/>
  <c r="F72" i="7" a="1"/>
  <c r="D67" i="7" a="1"/>
  <c r="J72" i="7" a="1"/>
  <c r="K68" i="7" a="1"/>
  <c r="E71" i="7" a="1"/>
  <c r="Q71" i="7" a="1"/>
  <c r="Q70" i="7" a="1"/>
  <c r="G68" i="7" a="1"/>
  <c r="L72" i="7" a="1"/>
  <c r="G67" i="7" a="1"/>
  <c r="K66" i="7" a="1"/>
  <c r="D68" i="7" a="1"/>
  <c r="H66" i="7" a="1"/>
  <c r="L66" i="7" a="1"/>
  <c r="H71" i="7" a="1"/>
  <c r="O66" i="7" a="1"/>
  <c r="D71" i="7" a="1"/>
  <c r="P68" i="7" a="1"/>
  <c r="P67" i="7" a="1"/>
  <c r="O70" i="7" a="1"/>
  <c r="M72" i="7" a="1"/>
  <c r="M67" i="7" a="1"/>
  <c r="E68" i="7" a="1"/>
  <c r="J69" i="7" a="1"/>
  <c r="M66" i="7" a="1"/>
  <c r="M71" i="7" a="1"/>
  <c r="J68" i="7" a="1"/>
  <c r="E69" i="7" a="1"/>
  <c r="I68" i="7" a="1"/>
  <c r="P70" i="7" a="1"/>
  <c r="F68" i="7" a="1"/>
  <c r="N71" i="7" a="1"/>
  <c r="J66" i="7" a="1"/>
  <c r="I69" i="7" a="1"/>
  <c r="N66" i="7" a="1"/>
  <c r="H68" i="7" a="1"/>
  <c r="Q72" i="7" a="1"/>
  <c r="P65" i="7" a="1"/>
  <c r="N70" i="7" a="1"/>
  <c r="I67" i="7" a="1"/>
  <c r="O71" i="7" a="1"/>
  <c r="L67" i="7" a="1"/>
  <c r="K69" i="7" a="1"/>
  <c r="M69" i="7" a="1"/>
  <c r="F69" i="7" a="1"/>
  <c r="L71" i="7" a="1"/>
  <c r="O68" i="7" a="1"/>
  <c r="D66" i="7" a="1"/>
  <c r="D69" i="7" a="1"/>
  <c r="F66" i="7" a="1"/>
  <c r="P66" i="7" a="1"/>
  <c r="P71" i="7" a="1"/>
  <c r="L70" i="7" a="1"/>
  <c r="D72" i="7" a="1"/>
  <c r="H69" i="7" a="1"/>
  <c r="G69" i="7" a="1"/>
  <c r="E66" i="7" a="1"/>
  <c r="L68" i="7" a="1"/>
  <c r="G66" i="7" a="1"/>
  <c r="P69" i="7" a="1"/>
  <c r="H67" i="7" a="1"/>
  <c r="D72" i="6" a="1"/>
  <c r="E70" i="6" a="1"/>
  <c r="Q73" i="6" a="1"/>
  <c r="L73" i="6" a="1"/>
  <c r="M72" i="6" a="1"/>
  <c r="L71" i="6" a="1"/>
  <c r="G67" i="6" a="1"/>
  <c r="L68" i="6" a="1"/>
  <c r="M67" i="6" a="1"/>
  <c r="G72" i="6" a="1"/>
  <c r="N72" i="6" a="1"/>
  <c r="E73" i="6" a="1"/>
  <c r="E72" i="6" a="1"/>
  <c r="P72" i="6" a="1"/>
  <c r="P73" i="6" a="1"/>
  <c r="J70" i="6" a="1"/>
  <c r="G70" i="6" a="1"/>
  <c r="J66" i="6" a="1"/>
  <c r="I73" i="6" a="1"/>
  <c r="F72" i="6" a="1"/>
  <c r="H72" i="6" a="1"/>
  <c r="I67" i="6" a="1"/>
  <c r="F69" i="6" a="1"/>
  <c r="Q68" i="6" a="1"/>
  <c r="Q70" i="6" a="1"/>
  <c r="K68" i="6" a="1"/>
  <c r="L72" i="6" a="1"/>
  <c r="K67" i="6" a="1"/>
  <c r="G66" i="6" a="1"/>
  <c r="N71" i="6" a="1"/>
  <c r="L67" i="6" a="1"/>
  <c r="D66" i="6" a="1"/>
  <c r="D73" i="6" a="1"/>
  <c r="G69" i="6" a="1"/>
  <c r="Q66" i="6" a="1"/>
  <c r="F70" i="6" a="1"/>
  <c r="O68" i="6" a="1"/>
  <c r="J67" i="6" a="1"/>
  <c r="K69" i="6" a="1"/>
  <c r="I71" i="6" a="1"/>
  <c r="O71" i="6" a="1"/>
  <c r="H73" i="6" a="1"/>
  <c r="E69" i="6" a="1"/>
  <c r="E66" i="6" a="1"/>
  <c r="K71" i="6" a="1"/>
  <c r="H67" i="6" a="1"/>
  <c r="Q71" i="6" a="1"/>
  <c r="P65" i="6" a="1"/>
  <c r="J68" i="6" a="1"/>
  <c r="O66" i="6" a="1"/>
  <c r="F66" i="6" a="1"/>
  <c r="N73" i="6" a="1"/>
  <c r="K72" i="6" a="1"/>
  <c r="D69" i="6" a="1"/>
  <c r="H70" i="6" a="1"/>
  <c r="J71" i="6" a="1"/>
  <c r="M69" i="6" a="1"/>
  <c r="P68" i="6" a="1"/>
  <c r="Q67" i="6" a="1"/>
  <c r="N69" i="6" a="1"/>
  <c r="N68" i="6" a="1"/>
  <c r="J69" i="6" a="1"/>
  <c r="K73" i="6" a="1"/>
  <c r="O73" i="6" a="1"/>
  <c r="H71" i="6" a="1"/>
  <c r="O67" i="6" a="1"/>
  <c r="I69" i="6" a="1"/>
  <c r="I70" i="6" a="1"/>
  <c r="G68" i="6" a="1"/>
  <c r="Q72" i="6" a="1"/>
  <c r="Q69" i="6" a="1"/>
  <c r="O69" i="6" a="1"/>
  <c r="N66" i="6" a="1"/>
  <c r="H68" i="6" a="1"/>
  <c r="F71" i="6" a="1"/>
  <c r="J73" i="6" a="1"/>
  <c r="F73" i="6" a="1"/>
  <c r="J72" i="6" a="1"/>
  <c r="H69" i="6" a="1"/>
  <c r="L69" i="6" a="1"/>
  <c r="F68" i="6" a="1"/>
  <c r="P66" i="6" a="1"/>
  <c r="P67" i="6" a="1"/>
  <c r="D68" i="6" a="1"/>
  <c r="I68" i="6" a="1"/>
  <c r="L70" i="6" a="1"/>
  <c r="G71" i="6" a="1"/>
  <c r="G73" i="6" a="1"/>
  <c r="N67" i="6" a="1"/>
  <c r="D67" i="6" a="1"/>
  <c r="O70" i="6" a="1"/>
  <c r="H66" i="6" a="1"/>
  <c r="P70" i="6" a="1"/>
  <c r="P71" i="6" a="1"/>
  <c r="M73" i="6" a="1"/>
  <c r="E68" i="6" a="1"/>
  <c r="M71" i="6" a="1"/>
  <c r="M70" i="6" a="1"/>
  <c r="M68" i="6" a="1"/>
  <c r="L66" i="6" a="1"/>
  <c r="E67" i="6" a="1"/>
  <c r="O72" i="6" a="1"/>
  <c r="I66" i="6" a="1"/>
  <c r="D71" i="6" a="1"/>
  <c r="D70" i="6" a="1"/>
  <c r="P69" i="6" a="1"/>
  <c r="K70" i="6" a="1"/>
  <c r="F67" i="6" a="1"/>
  <c r="K66" i="6" a="1"/>
  <c r="M66" i="6" a="1"/>
  <c r="N70" i="6" a="1"/>
  <c r="I72" i="6" a="1"/>
  <c r="E71" i="6" a="1"/>
  <c r="L68" i="5" a="1"/>
  <c r="S72" i="5" a="1"/>
  <c r="R65" i="5" a="1"/>
  <c r="Q68" i="5" a="1"/>
  <c r="L66" i="5" a="1"/>
  <c r="I73" i="5" a="1"/>
  <c r="N66" i="5" a="1"/>
  <c r="L73" i="5" a="1"/>
  <c r="J71" i="5" a="1"/>
  <c r="D71" i="5" a="1"/>
  <c r="E67" i="5" a="1"/>
  <c r="F72" i="5" a="1"/>
  <c r="J70" i="5" a="1"/>
  <c r="E66" i="5" a="1"/>
  <c r="S71" i="5" a="1"/>
  <c r="S68" i="5" a="1"/>
  <c r="O68" i="5" a="1"/>
  <c r="K69" i="5" a="1"/>
  <c r="K73" i="5" a="1"/>
  <c r="N71" i="5" a="1"/>
  <c r="Q73" i="5" a="1"/>
  <c r="H73" i="5" a="1"/>
  <c r="M73" i="5" a="1"/>
  <c r="F68" i="5" a="1"/>
  <c r="E71" i="5" a="1"/>
  <c r="K70" i="5" a="1"/>
  <c r="D66" i="5" a="1"/>
  <c r="R71" i="5" a="1"/>
  <c r="R67" i="5" a="1"/>
  <c r="L71" i="5" a="1"/>
  <c r="J69" i="5" a="1"/>
  <c r="I66" i="5" a="1"/>
  <c r="E72" i="5" a="1"/>
  <c r="J73" i="5" a="1"/>
  <c r="O71" i="5" a="1"/>
  <c r="P73" i="5" a="1"/>
  <c r="I68" i="5" a="1"/>
  <c r="K67" i="5" a="1"/>
  <c r="N67" i="5" a="1"/>
  <c r="L67" i="5" a="1"/>
  <c r="R69" i="5" a="1"/>
  <c r="I71" i="5" a="1"/>
  <c r="S67" i="5" a="1"/>
  <c r="Q72" i="5" a="1"/>
  <c r="M71" i="5" a="1"/>
  <c r="N68" i="5" a="1"/>
  <c r="H66" i="5" a="1"/>
  <c r="D72" i="5" a="1"/>
  <c r="J68" i="5" a="1"/>
  <c r="M70" i="5" a="1"/>
  <c r="H68" i="5" a="1"/>
  <c r="J67" i="5" a="1"/>
  <c r="F67" i="5" a="1"/>
  <c r="O67" i="5" a="1"/>
  <c r="D69" i="5" a="1"/>
  <c r="H71" i="5" a="1"/>
  <c r="P66" i="5" a="1"/>
  <c r="G66" i="5" a="1"/>
  <c r="I67" i="5" a="1"/>
  <c r="K68" i="5" a="1"/>
  <c r="L70" i="5" a="1"/>
  <c r="Q71" i="5" a="1"/>
  <c r="G70" i="5" a="1"/>
  <c r="E69" i="5" a="1"/>
  <c r="M67" i="5" a="1"/>
  <c r="J66" i="5" a="1"/>
  <c r="Q66" i="5" a="1"/>
  <c r="R72" i="5" a="1"/>
  <c r="P72" i="5" a="1"/>
  <c r="H67" i="5" a="1"/>
  <c r="O72" i="5" a="1"/>
  <c r="E70" i="5" a="1"/>
  <c r="L69" i="5" a="1"/>
  <c r="E68" i="5" a="1"/>
  <c r="P71" i="5" a="1"/>
  <c r="J72" i="5" a="1"/>
  <c r="G67" i="5" a="1"/>
  <c r="I72" i="5" a="1"/>
  <c r="N69" i="5" a="1"/>
  <c r="K66" i="5" a="1"/>
  <c r="S70" i="5" a="1"/>
  <c r="R66" i="5" a="1"/>
  <c r="Q70" i="5" a="1"/>
  <c r="F66" i="5" a="1"/>
  <c r="D70" i="5" a="1"/>
  <c r="F73" i="5" a="1"/>
  <c r="D68" i="5" a="1"/>
  <c r="K72" i="5" a="1"/>
  <c r="F70" i="5" a="1"/>
  <c r="O70" i="5" a="1"/>
  <c r="H72" i="5" a="1"/>
  <c r="O69" i="5" a="1"/>
  <c r="F69" i="5" a="1"/>
  <c r="S73" i="5" a="1"/>
  <c r="R68" i="5" a="1"/>
  <c r="P70" i="5" a="1"/>
  <c r="I70" i="5" a="1"/>
  <c r="Q67" i="5" a="1"/>
  <c r="N72" i="5" a="1"/>
  <c r="M69" i="5" a="1"/>
  <c r="F71" i="5" a="1"/>
  <c r="Q69" i="5" a="1"/>
  <c r="D73" i="5" a="1"/>
  <c r="M72" i="5" a="1"/>
  <c r="R73" i="5" a="1"/>
  <c r="R70" i="5" a="1"/>
  <c r="N73" i="5" a="1"/>
  <c r="H70" i="5" a="1"/>
  <c r="P67" i="5" a="1"/>
  <c r="I69" i="5" a="1"/>
  <c r="G73" i="5" a="1"/>
  <c r="P69" i="5" a="1"/>
  <c r="O66" i="5" a="1"/>
  <c r="N70" i="5" a="1"/>
  <c r="E73" i="5" a="1"/>
  <c r="L72" i="5" a="1"/>
  <c r="G72" i="5" a="1"/>
  <c r="M68" i="5" a="1"/>
  <c r="G69" i="5" a="1"/>
  <c r="S69" i="5" a="1"/>
  <c r="S66" i="5" a="1"/>
  <c r="P68" i="5" a="1"/>
  <c r="O73" i="5" a="1"/>
  <c r="H69" i="5" a="1"/>
  <c r="M66" i="5" a="1"/>
  <c r="G71" i="5" a="1"/>
  <c r="G68" i="5" a="1"/>
  <c r="K71" i="5" a="1"/>
  <c r="D67" i="5" a="1"/>
  <c r="J71" i="4" a="1"/>
  <c r="P71" i="4" a="1"/>
  <c r="M69" i="4" a="1"/>
  <c r="R67" i="4" a="1"/>
  <c r="S68" i="4" a="1"/>
  <c r="J69" i="4" a="1"/>
  <c r="H68" i="4" a="1"/>
  <c r="Q67" i="4" a="1"/>
  <c r="N67" i="4" a="1"/>
  <c r="N72" i="4" a="1"/>
  <c r="F67" i="4" a="1"/>
  <c r="H66" i="4" a="1"/>
  <c r="N69" i="4" a="1"/>
  <c r="Q68" i="4" a="1"/>
  <c r="D68" i="4" a="1"/>
  <c r="Q71" i="4" a="1"/>
  <c r="G70" i="4" a="1"/>
  <c r="J66" i="4" a="1"/>
  <c r="R70" i="4" a="1"/>
  <c r="R65" i="4" a="1"/>
  <c r="E73" i="4" a="1"/>
  <c r="I68" i="4" a="1"/>
  <c r="F71" i="4" a="1"/>
  <c r="L70" i="4" a="1"/>
  <c r="H69" i="4" a="1"/>
  <c r="G66" i="4" a="1"/>
  <c r="O67" i="4" a="1"/>
  <c r="I72" i="4" a="1"/>
  <c r="G67" i="4" a="1"/>
  <c r="I66" i="4" a="1"/>
  <c r="E68" i="4" a="1"/>
  <c r="L69" i="4" a="1"/>
  <c r="M71" i="4" a="1"/>
  <c r="S66" i="4" a="1"/>
  <c r="R68" i="4" a="1"/>
  <c r="D73" i="4" a="1"/>
  <c r="O68" i="4" a="1"/>
  <c r="G71" i="4" a="1"/>
  <c r="M70" i="4" a="1"/>
  <c r="P72" i="4" a="1"/>
  <c r="M67" i="4" a="1"/>
  <c r="H72" i="4" a="1"/>
  <c r="J73" i="4" a="1"/>
  <c r="L66" i="4" a="1"/>
  <c r="P68" i="4" a="1"/>
  <c r="P69" i="4" a="1"/>
  <c r="F70" i="4" a="1"/>
  <c r="R73" i="4" a="1"/>
  <c r="S67" i="4" a="1"/>
  <c r="I70" i="4" a="1"/>
  <c r="Q72" i="4" a="1"/>
  <c r="F66" i="4" a="1"/>
  <c r="K68" i="4" a="1"/>
  <c r="K73" i="4" a="1"/>
  <c r="M66" i="4" a="1"/>
  <c r="O70" i="4" a="1"/>
  <c r="Q69" i="4" a="1"/>
  <c r="I73" i="4" a="1"/>
  <c r="L71" i="4" a="1"/>
  <c r="S69" i="4" a="1"/>
  <c r="R72" i="4" a="1"/>
  <c r="E71" i="4" a="1"/>
  <c r="N68" i="4" a="1"/>
  <c r="E67" i="4" a="1"/>
  <c r="K67" i="4" a="1"/>
  <c r="L67" i="4" a="1"/>
  <c r="K72" i="4" a="1"/>
  <c r="D72" i="4" a="1"/>
  <c r="R71" i="4" a="1"/>
  <c r="F73" i="4" a="1"/>
  <c r="H70" i="4" a="1"/>
  <c r="I71" i="4" a="1"/>
  <c r="J67" i="4" a="1"/>
  <c r="Q70" i="4" a="1"/>
  <c r="J68" i="4" a="1"/>
  <c r="E72" i="4" a="1"/>
  <c r="N70" i="4" a="1"/>
  <c r="O71" i="4" a="1"/>
  <c r="D66" i="4" a="1"/>
  <c r="R66" i="4" a="1"/>
  <c r="G73" i="4" a="1"/>
  <c r="D71" i="4" a="1"/>
  <c r="O66" i="4" a="1"/>
  <c r="H71" i="4" a="1"/>
  <c r="D67" i="4" a="1"/>
  <c r="P70" i="4" a="1"/>
  <c r="M73" i="4" a="1"/>
  <c r="N73" i="4" a="1"/>
  <c r="O73" i="4" a="1"/>
  <c r="Q66" i="4" a="1"/>
  <c r="K70" i="4" a="1"/>
  <c r="H73" i="4" a="1"/>
  <c r="P66" i="4" a="1"/>
  <c r="J72" i="4" a="1"/>
  <c r="G72" i="4" a="1"/>
  <c r="P73" i="4" a="1"/>
  <c r="N71" i="4" a="1"/>
  <c r="I67" i="4" a="1"/>
  <c r="L68" i="4" a="1"/>
  <c r="E66" i="4" a="1"/>
  <c r="S72" i="4" a="1"/>
  <c r="D69" i="4" a="1"/>
  <c r="F69" i="4" a="1"/>
  <c r="D70" i="4" a="1"/>
  <c r="J70" i="4" a="1"/>
  <c r="K71" i="4" a="1"/>
  <c r="Q73" i="4" a="1"/>
  <c r="M68" i="4" a="1"/>
  <c r="S70" i="4" a="1"/>
  <c r="S71" i="4" a="1"/>
  <c r="K69" i="4" a="1"/>
  <c r="N66" i="4" a="1"/>
  <c r="M72" i="4" a="1"/>
  <c r="G68" i="4" a="1"/>
  <c r="L73" i="4" a="1"/>
  <c r="G69" i="4" a="1"/>
  <c r="E70" i="4" a="1"/>
  <c r="O69" i="4" a="1"/>
  <c r="F72" i="4" a="1"/>
  <c r="H67" i="4" a="1"/>
  <c r="K66" i="4" a="1"/>
  <c r="S73" i="4" a="1"/>
  <c r="R69" i="4" a="1"/>
  <c r="E69" i="4" a="1"/>
  <c r="F68" i="4" a="1"/>
  <c r="I69" i="4" a="1"/>
  <c r="P67" i="4" a="1"/>
  <c r="O72" i="4" a="1"/>
  <c r="L72" i="4" a="1"/>
  <c r="G73" i="3" a="1"/>
  <c r="H70" i="3" a="1"/>
  <c r="G70" i="3" a="1"/>
  <c r="M66" i="3" a="1"/>
  <c r="Q68" i="3" a="1"/>
  <c r="Q73" i="3" a="1"/>
  <c r="E71" i="3" a="1"/>
  <c r="J69" i="3" a="1"/>
  <c r="J66" i="3" a="1"/>
  <c r="K72" i="3" a="1"/>
  <c r="L67" i="3" a="1"/>
  <c r="D72" i="3" a="1"/>
  <c r="I72" i="3" a="1"/>
  <c r="J67" i="3" a="1"/>
  <c r="F67" i="3" a="1"/>
  <c r="D66" i="3" a="1"/>
  <c r="M73" i="3" a="1"/>
  <c r="D68" i="3" a="1"/>
  <c r="Q67" i="3" a="1"/>
  <c r="K69" i="3" a="1"/>
  <c r="O70" i="3" a="1"/>
  <c r="F68" i="3" a="1"/>
  <c r="I68" i="3" a="1"/>
  <c r="E72" i="3" a="1"/>
  <c r="K67" i="3" a="1"/>
  <c r="M71" i="3" a="1"/>
  <c r="G67" i="3" a="1"/>
  <c r="E66" i="3" a="1"/>
  <c r="J73" i="3" a="1"/>
  <c r="F70" i="3" a="1"/>
  <c r="F69" i="3" a="1"/>
  <c r="E68" i="3" a="1"/>
  <c r="Q71" i="3" a="1"/>
  <c r="Q70" i="3" a="1"/>
  <c r="D71" i="3" a="1"/>
  <c r="K68" i="3" a="1"/>
  <c r="J72" i="3" a="1"/>
  <c r="I70" i="3" a="1"/>
  <c r="H72" i="3" a="1"/>
  <c r="N71" i="3" a="1"/>
  <c r="K73" i="3" a="1"/>
  <c r="G69" i="3" a="1"/>
  <c r="L73" i="3" a="1"/>
  <c r="P68" i="3" a="1"/>
  <c r="P67" i="3" a="1"/>
  <c r="E69" i="3" a="1"/>
  <c r="N70" i="3" a="1"/>
  <c r="H68" i="3" a="1"/>
  <c r="D67" i="3" a="1"/>
  <c r="L70" i="3" a="1"/>
  <c r="O66" i="3" a="1"/>
  <c r="L72" i="3" a="1"/>
  <c r="L71" i="3" a="1"/>
  <c r="N69" i="3" a="1"/>
  <c r="O71" i="3" a="1"/>
  <c r="N67" i="3" a="1"/>
  <c r="P71" i="3" a="1"/>
  <c r="P70" i="3" a="1"/>
  <c r="J68" i="3" a="1"/>
  <c r="I67" i="3" a="1"/>
  <c r="H67" i="3" a="1"/>
  <c r="M68" i="3" a="1"/>
  <c r="M70" i="3" a="1"/>
  <c r="G66" i="3" a="1"/>
  <c r="M72" i="3" a="1"/>
  <c r="I71" i="3" a="1"/>
  <c r="O69" i="3" a="1"/>
  <c r="M69" i="3" a="1"/>
  <c r="D70" i="3" a="1"/>
  <c r="O67" i="3" a="1"/>
  <c r="P73" i="3" a="1"/>
  <c r="P69" i="3" a="1"/>
  <c r="D69" i="3" a="1"/>
  <c r="I73" i="3" a="1"/>
  <c r="I66" i="3" a="1"/>
  <c r="N73" i="3" a="1"/>
  <c r="K66" i="3" a="1"/>
  <c r="M67" i="3" a="1"/>
  <c r="N66" i="3" a="1"/>
  <c r="F71" i="3" a="1"/>
  <c r="E70" i="3" a="1"/>
  <c r="I69" i="3" a="1"/>
  <c r="J71" i="3" a="1"/>
  <c r="O72" i="3" a="1"/>
  <c r="Q69" i="3" a="1"/>
  <c r="Q66" i="3" a="1"/>
  <c r="E67" i="3" a="1"/>
  <c r="F66" i="3" a="1"/>
  <c r="G72" i="3" a="1"/>
  <c r="G71" i="3" a="1"/>
  <c r="H71" i="3" a="1"/>
  <c r="L68" i="3" a="1"/>
  <c r="L69" i="3" a="1"/>
  <c r="K71" i="3" a="1"/>
  <c r="O68" i="3" a="1"/>
  <c r="P65" i="3" a="1"/>
  <c r="E73" i="3" a="1"/>
  <c r="H73" i="3" a="1"/>
  <c r="O73" i="3" a="1"/>
  <c r="H66" i="3" a="1"/>
  <c r="K70" i="3" a="1"/>
  <c r="H69" i="3" a="1"/>
  <c r="N72" i="3" a="1"/>
  <c r="Q72" i="3" a="1"/>
  <c r="F72" i="3" a="1"/>
  <c r="F73" i="3" a="1"/>
  <c r="L66" i="3" a="1"/>
  <c r="N68" i="3" a="1"/>
  <c r="P72" i="3" a="1"/>
  <c r="P66" i="3" a="1"/>
  <c r="D73" i="3" a="1"/>
  <c r="G68" i="3" a="1"/>
  <c r="J70" i="3" a="1"/>
  <c r="M71" i="2" a="1"/>
  <c r="H68" i="2" a="1"/>
  <c r="F69" i="2" a="1"/>
  <c r="M72" i="2" a="1"/>
  <c r="F68" i="2" a="1"/>
  <c r="I71" i="2" a="1"/>
  <c r="P69" i="2" a="1"/>
  <c r="P67" i="2" a="1"/>
  <c r="G73" i="2" a="1"/>
  <c r="R73" i="2" a="1"/>
  <c r="P73" i="2" a="1"/>
  <c r="M69" i="2" a="1"/>
  <c r="R68" i="2" a="1"/>
  <c r="K72" i="2" a="1"/>
  <c r="O68" i="2" a="1"/>
  <c r="R72" i="2" a="1"/>
  <c r="G69" i="2" a="1"/>
  <c r="K66" i="2" a="1"/>
  <c r="O71" i="2" a="1"/>
  <c r="S73" i="2" a="1"/>
  <c r="P72" i="2" a="1"/>
  <c r="R69" i="2" a="1"/>
  <c r="I68" i="2" a="1"/>
  <c r="J66" i="2" a="1"/>
  <c r="Q69" i="2" a="1"/>
  <c r="J70" i="2" a="1"/>
  <c r="Q66" i="2" a="1"/>
  <c r="J68" i="2" a="1"/>
  <c r="O70" i="2" a="1"/>
  <c r="L71" i="2" a="1"/>
  <c r="Q70" i="2" a="1"/>
  <c r="S72" i="2" a="1"/>
  <c r="J67" i="2" a="1"/>
  <c r="O72" i="2" a="1"/>
  <c r="K70" i="2" a="1"/>
  <c r="J69" i="2" a="1"/>
  <c r="F71" i="2" a="1"/>
  <c r="S71" i="2" a="1"/>
  <c r="R71" i="2" a="1"/>
  <c r="L67" i="2" a="1"/>
  <c r="H67" i="2" a="1"/>
  <c r="G68" i="2" a="1"/>
  <c r="J71" i="2" a="1"/>
  <c r="K69" i="2" a="1"/>
  <c r="H70" i="2" a="1"/>
  <c r="G67" i="2" a="1"/>
  <c r="O73" i="2" a="1"/>
  <c r="S68" i="2" a="1"/>
  <c r="N68" i="2" a="1"/>
  <c r="L66" i="2" a="1"/>
  <c r="L70" i="2" a="1"/>
  <c r="K67" i="2" a="1"/>
  <c r="F66" i="2" a="1"/>
  <c r="N72" i="2" a="1"/>
  <c r="L72" i="2" a="1"/>
  <c r="R70" i="2" a="1"/>
  <c r="R67" i="2" a="1"/>
  <c r="S67" i="2" a="1"/>
  <c r="S69" i="2" a="1"/>
  <c r="M73" i="2" a="1"/>
  <c r="M67" i="2" a="1"/>
  <c r="H72" i="2" a="1"/>
  <c r="O69" i="2" a="1"/>
  <c r="I67" i="2" a="1"/>
  <c r="M70" i="2" a="1"/>
  <c r="I73" i="2" a="1"/>
  <c r="K71" i="2" a="1"/>
  <c r="Q68" i="2" a="1"/>
  <c r="P66" i="2" a="1"/>
  <c r="N66" i="2" a="1"/>
  <c r="H71" i="2" a="1"/>
  <c r="F73" i="2" a="1"/>
  <c r="L69" i="2" a="1"/>
  <c r="Q73" i="2" a="1"/>
  <c r="S66" i="2" a="1"/>
  <c r="G72" i="2" a="1"/>
  <c r="L73" i="2" a="1"/>
  <c r="N69" i="2" a="1"/>
  <c r="K73" i="2" a="1"/>
  <c r="H66" i="2" a="1"/>
  <c r="M66" i="2" a="1"/>
  <c r="N70" i="2" a="1"/>
  <c r="H73" i="2" a="1"/>
  <c r="G66" i="2" a="1"/>
  <c r="G71" i="2" a="1"/>
  <c r="P68" i="2" a="1"/>
  <c r="N73" i="2" a="1"/>
  <c r="P70" i="2" a="1"/>
  <c r="O67" i="2" a="1"/>
  <c r="Q71" i="2" a="1"/>
  <c r="M68" i="2" a="1"/>
  <c r="O66" i="2" a="1"/>
  <c r="H69" i="2" a="1"/>
  <c r="R66" i="2" a="1"/>
  <c r="F72" i="2" a="1"/>
  <c r="F67" i="2" a="1"/>
  <c r="K68" i="2" a="1"/>
  <c r="I72" i="2" a="1"/>
  <c r="J73" i="2" a="1"/>
  <c r="I66" i="2" a="1"/>
  <c r="P71" i="2" a="1"/>
  <c r="L68" i="2" a="1"/>
  <c r="I70" i="2" a="1"/>
  <c r="I69" i="2" a="1"/>
  <c r="N71" i="2" a="1"/>
  <c r="Q67" i="2" a="1"/>
  <c r="Q72" i="2" a="1"/>
  <c r="N67" i="2" a="1"/>
  <c r="S70" i="2" a="1"/>
  <c r="G70" i="2" a="1"/>
  <c r="J72" i="2" a="1"/>
  <c r="F70" i="2" a="1"/>
  <c r="E70" i="2" a="1"/>
  <c r="E67" i="2" a="1"/>
  <c r="E73" i="2" a="1"/>
  <c r="E68" i="2" a="1"/>
  <c r="E72" i="2" a="1"/>
  <c r="E69" i="2" a="1"/>
  <c r="E71" i="2" a="1"/>
  <c r="E66" i="2" a="1"/>
  <c r="D67" i="2" a="1"/>
  <c r="D68" i="2" a="1"/>
  <c r="D73" i="2" a="1"/>
  <c r="D72" i="2" a="1"/>
  <c r="D70" i="2" a="1"/>
  <c r="D71" i="2" a="1"/>
  <c r="D69" i="2" a="1"/>
  <c r="D66" i="2" a="1"/>
  <c r="O71" i="9" l="1"/>
  <c r="N83" i="9"/>
  <c r="K72" i="9"/>
  <c r="L78" i="9"/>
  <c r="K71" i="9"/>
  <c r="D70" i="9"/>
  <c r="O66" i="9"/>
  <c r="O86" i="9"/>
  <c r="I69" i="9"/>
  <c r="S82" i="9"/>
  <c r="E88" i="9"/>
  <c r="Q86" i="9"/>
  <c r="R70" i="9"/>
  <c r="P75" i="9"/>
  <c r="R77" i="9"/>
  <c r="M84" i="9"/>
  <c r="S67" i="9"/>
  <c r="R76" i="9"/>
  <c r="Q80" i="9"/>
  <c r="Q76" i="9"/>
  <c r="M81" i="9"/>
  <c r="L80" i="9"/>
  <c r="E74" i="9"/>
  <c r="N67" i="9"/>
  <c r="H83" i="9"/>
  <c r="I84" i="9"/>
  <c r="D82" i="9"/>
  <c r="D72" i="9"/>
  <c r="E68" i="9"/>
  <c r="P81" i="9"/>
  <c r="F69" i="9"/>
  <c r="F81" i="9"/>
  <c r="J68" i="9"/>
  <c r="S68" i="9"/>
  <c r="H82" i="9"/>
  <c r="R89" i="9"/>
  <c r="K88" i="9"/>
  <c r="E89" i="9"/>
  <c r="K83" i="9"/>
  <c r="J76" i="9"/>
  <c r="L66" i="9"/>
  <c r="M78" i="9"/>
  <c r="O75" i="9"/>
  <c r="H69" i="9"/>
  <c r="E75" i="9"/>
  <c r="K70" i="9"/>
  <c r="G72" i="9"/>
  <c r="F67" i="9"/>
  <c r="G79" i="9"/>
  <c r="R67" i="9"/>
  <c r="P69" i="9"/>
  <c r="S87" i="9"/>
  <c r="E85" i="9"/>
  <c r="P80" i="9"/>
  <c r="P76" i="9"/>
  <c r="Q88" i="9"/>
  <c r="L81" i="9"/>
  <c r="O84" i="9"/>
  <c r="L68" i="9"/>
  <c r="I66" i="9"/>
  <c r="M88" i="9"/>
  <c r="O73" i="9"/>
  <c r="F89" i="9"/>
  <c r="O72" i="9"/>
  <c r="O85" i="9"/>
  <c r="E82" i="9"/>
  <c r="E73" i="9"/>
  <c r="N87" i="9"/>
  <c r="D68" i="9"/>
  <c r="F78" i="9"/>
  <c r="Q81" i="9"/>
  <c r="G69" i="9"/>
  <c r="J86" i="9"/>
  <c r="G87" i="9"/>
  <c r="D89" i="9"/>
  <c r="O83" i="9"/>
  <c r="H74" i="9"/>
  <c r="M66" i="9"/>
  <c r="M87" i="9"/>
  <c r="G84" i="9"/>
  <c r="E70" i="9"/>
  <c r="N79" i="9"/>
  <c r="O70" i="9"/>
  <c r="N86" i="9"/>
  <c r="I86" i="9"/>
  <c r="R82" i="9"/>
  <c r="E79" i="9"/>
  <c r="N89" i="9"/>
  <c r="P86" i="9"/>
  <c r="P71" i="9"/>
  <c r="F72" i="9"/>
  <c r="Q75" i="9"/>
  <c r="L82" i="9"/>
  <c r="F79" i="9"/>
  <c r="S76" i="9"/>
  <c r="O88" i="9"/>
  <c r="D85" i="9"/>
  <c r="J73" i="9"/>
  <c r="J74" i="9"/>
  <c r="M80" i="9"/>
  <c r="L71" i="9"/>
  <c r="L88" i="9"/>
  <c r="O67" i="9"/>
  <c r="N77" i="9"/>
  <c r="G89" i="9"/>
  <c r="N72" i="9"/>
  <c r="P87" i="9"/>
  <c r="J81" i="9"/>
  <c r="E72" i="9"/>
  <c r="F73" i="9"/>
  <c r="K86" i="9"/>
  <c r="K68" i="9"/>
  <c r="F87" i="9"/>
  <c r="S89" i="9"/>
  <c r="E84" i="9"/>
  <c r="Q78" i="9"/>
  <c r="L75" i="9"/>
  <c r="K76" i="9"/>
  <c r="L70" i="9"/>
  <c r="L87" i="9"/>
  <c r="F84" i="9"/>
  <c r="J75" i="9"/>
  <c r="O79" i="9"/>
  <c r="N70" i="9"/>
  <c r="P89" i="9"/>
  <c r="I73" i="9"/>
  <c r="H86" i="9"/>
  <c r="O89" i="9"/>
  <c r="M83" i="9"/>
  <c r="P79" i="9"/>
  <c r="G67" i="9"/>
  <c r="J82" i="9"/>
  <c r="S72" i="9"/>
  <c r="Q69" i="9"/>
  <c r="P72" i="9"/>
  <c r="P88" i="9"/>
  <c r="H76" i="9"/>
  <c r="M68" i="9"/>
  <c r="L86" i="9"/>
  <c r="P74" i="9"/>
  <c r="O77" i="9"/>
  <c r="K81" i="9"/>
  <c r="E77" i="9"/>
  <c r="O87" i="9"/>
  <c r="G70" i="9"/>
  <c r="G82" i="9"/>
  <c r="G78" i="9"/>
  <c r="R75" i="9"/>
  <c r="S74" i="9"/>
  <c r="K84" i="9"/>
  <c r="D84" i="9"/>
  <c r="P78" i="9"/>
  <c r="I68" i="9"/>
  <c r="I74" i="9"/>
  <c r="O74" i="9"/>
  <c r="H73" i="9"/>
  <c r="H87" i="9"/>
  <c r="D79" i="9"/>
  <c r="Q82" i="9"/>
  <c r="Q71" i="9"/>
  <c r="F76" i="9"/>
  <c r="Q79" i="9"/>
  <c r="M82" i="9"/>
  <c r="F71" i="9"/>
  <c r="R72" i="9"/>
  <c r="H77" i="9"/>
  <c r="S80" i="9"/>
  <c r="N88" i="9"/>
  <c r="D87" i="9"/>
  <c r="K73" i="9"/>
  <c r="L73" i="9"/>
  <c r="K74" i="9"/>
  <c r="L72" i="9"/>
  <c r="M86" i="9"/>
  <c r="M71" i="9"/>
  <c r="I79" i="9"/>
  <c r="O76" i="9"/>
  <c r="Q87" i="9"/>
  <c r="N69" i="9"/>
  <c r="G83" i="9"/>
  <c r="D77" i="9"/>
  <c r="P83" i="9"/>
  <c r="F70" i="9"/>
  <c r="F82" i="9"/>
  <c r="P73" i="9"/>
  <c r="G73" i="9"/>
  <c r="H88" i="9"/>
  <c r="M67" i="9"/>
  <c r="R74" i="9"/>
  <c r="J84" i="9"/>
  <c r="H68" i="9"/>
  <c r="M75" i="9"/>
  <c r="H78" i="9"/>
  <c r="K80" i="9"/>
  <c r="M70" i="9"/>
  <c r="J66" i="9"/>
  <c r="I71" i="9"/>
  <c r="K75" i="9"/>
  <c r="Q89" i="9"/>
  <c r="R66" i="9"/>
  <c r="H67" i="9"/>
  <c r="I87" i="9"/>
  <c r="P82" i="9"/>
  <c r="L83" i="9"/>
  <c r="I81" i="9"/>
  <c r="K82" i="9"/>
  <c r="R80" i="9"/>
  <c r="E87" i="9"/>
  <c r="Q72" i="9"/>
  <c r="P68" i="9"/>
  <c r="I76" i="9"/>
  <c r="J78" i="9"/>
  <c r="I75" i="9"/>
  <c r="H79" i="9"/>
  <c r="Q74" i="9"/>
  <c r="N81" i="9"/>
  <c r="H85" i="9"/>
  <c r="N76" i="9"/>
  <c r="P67" i="9"/>
  <c r="F83" i="9"/>
  <c r="E81" i="9"/>
  <c r="Q83" i="9"/>
  <c r="S75" i="9"/>
  <c r="G77" i="9"/>
  <c r="L67" i="9"/>
  <c r="R78" i="9"/>
  <c r="S81" i="9"/>
  <c r="D86" i="9"/>
  <c r="G68" i="9"/>
  <c r="M79" i="9"/>
  <c r="J80" i="9"/>
  <c r="L74" i="9"/>
  <c r="K66" i="9"/>
  <c r="H71" i="9"/>
  <c r="J79" i="9"/>
  <c r="N82" i="9"/>
  <c r="N74" i="9"/>
  <c r="D66" i="9"/>
  <c r="I67" i="9"/>
  <c r="D71" i="9"/>
  <c r="S83" i="9"/>
  <c r="H72" i="9"/>
  <c r="G76" i="9"/>
  <c r="S73" i="9"/>
  <c r="J89" i="9"/>
  <c r="G71" i="9"/>
  <c r="H89" i="9"/>
  <c r="I77" i="9"/>
  <c r="F85" i="9"/>
  <c r="R88" i="9"/>
  <c r="E80" i="9"/>
  <c r="Q68" i="9"/>
  <c r="M73" i="9"/>
  <c r="H80" i="9"/>
  <c r="M72" i="9"/>
  <c r="M89" i="9"/>
  <c r="J77" i="9"/>
  <c r="I85" i="9"/>
  <c r="N80" i="9"/>
  <c r="Q67" i="9"/>
  <c r="O69" i="9"/>
  <c r="D69" i="9"/>
  <c r="D81" i="9"/>
  <c r="S86" i="9"/>
  <c r="Q73" i="9"/>
  <c r="I88" i="9"/>
  <c r="J67" i="9"/>
  <c r="R81" i="9"/>
  <c r="F88" i="9"/>
  <c r="F68" i="9"/>
  <c r="L79" i="9"/>
  <c r="I78" i="9"/>
  <c r="F86" i="9"/>
  <c r="H70" i="9"/>
  <c r="O82" i="9"/>
  <c r="N78" i="9"/>
  <c r="S66" i="9"/>
  <c r="D78" i="9"/>
  <c r="R83" i="9"/>
  <c r="Q84" i="9"/>
  <c r="H81" i="9"/>
  <c r="R73" i="9"/>
  <c r="K89" i="9"/>
  <c r="F75" i="9"/>
  <c r="K85" i="9"/>
  <c r="I89" i="9"/>
  <c r="G85" i="9"/>
  <c r="S88" i="9"/>
  <c r="P70" i="9"/>
  <c r="D80" i="9"/>
  <c r="L77" i="9"/>
  <c r="K78" i="9"/>
  <c r="L76" i="9"/>
  <c r="L89" i="9"/>
  <c r="H75" i="9"/>
  <c r="L69" i="9"/>
  <c r="O81" i="9"/>
  <c r="E69" i="9"/>
  <c r="S84" i="9"/>
  <c r="R86" i="9"/>
  <c r="P77" i="9"/>
  <c r="R79" i="9"/>
  <c r="F77" i="9"/>
  <c r="S78" i="9"/>
  <c r="R85" i="9"/>
  <c r="E86" i="9"/>
  <c r="N71" i="9"/>
  <c r="J69" i="9"/>
  <c r="J72" i="9"/>
  <c r="M74" i="9"/>
  <c r="J71" i="9"/>
  <c r="K79" i="9"/>
  <c r="N66" i="9"/>
  <c r="E66" i="9"/>
  <c r="S69" i="9"/>
  <c r="E71" i="9"/>
  <c r="D88" i="9"/>
  <c r="P84" i="9"/>
  <c r="I72" i="9"/>
  <c r="G80" i="9"/>
  <c r="L84" i="9"/>
  <c r="J85" i="9"/>
  <c r="S71" i="9"/>
  <c r="G66" i="9"/>
  <c r="E83" i="9"/>
  <c r="P66" i="9"/>
  <c r="I80" i="9"/>
  <c r="L85" i="9"/>
  <c r="D74" i="9"/>
  <c r="K77" i="9"/>
  <c r="N68" i="9"/>
  <c r="O80" i="9"/>
  <c r="H84" i="9"/>
  <c r="E76" i="9"/>
  <c r="E67" i="9"/>
  <c r="P85" i="9"/>
  <c r="R84" i="9"/>
  <c r="G74" i="9"/>
  <c r="S79" i="9"/>
  <c r="K87" i="9"/>
  <c r="K67" i="9"/>
  <c r="G88" i="9"/>
  <c r="K69" i="9"/>
  <c r="J83" i="9"/>
  <c r="G86" i="9"/>
  <c r="I70" i="9"/>
  <c r="N75" i="9"/>
  <c r="O78" i="9"/>
  <c r="R69" i="9"/>
  <c r="E78" i="9"/>
  <c r="D75" i="9"/>
  <c r="J70" i="9"/>
  <c r="S70" i="9"/>
  <c r="F80" i="9"/>
  <c r="S77" i="9"/>
  <c r="G75" i="9"/>
  <c r="R71" i="9"/>
  <c r="F66" i="9"/>
  <c r="R87" i="9"/>
  <c r="D83" i="9"/>
  <c r="Q70" i="9"/>
  <c r="Q66" i="9"/>
  <c r="M77" i="9"/>
  <c r="N84" i="9"/>
  <c r="M85" i="9"/>
  <c r="M76" i="9"/>
  <c r="H66" i="9"/>
  <c r="M69" i="9"/>
  <c r="N73" i="9"/>
  <c r="I83" i="9"/>
  <c r="O68" i="9"/>
  <c r="N85" i="9"/>
  <c r="D76" i="9"/>
  <c r="D73" i="9"/>
  <c r="D67" i="9"/>
  <c r="Q85" i="9"/>
  <c r="F74" i="9"/>
  <c r="Q77" i="9"/>
  <c r="G81" i="9"/>
  <c r="J87" i="9"/>
  <c r="R68" i="9"/>
  <c r="I82" i="9"/>
  <c r="S85" i="9"/>
  <c r="J88" i="9"/>
  <c r="O86" i="8"/>
  <c r="O84" i="8"/>
  <c r="J88" i="8"/>
  <c r="D66" i="8"/>
  <c r="I78" i="8"/>
  <c r="F72" i="8"/>
  <c r="G73" i="8"/>
  <c r="N85" i="8"/>
  <c r="Q67" i="8"/>
  <c r="F82" i="8"/>
  <c r="K84" i="8"/>
  <c r="O89" i="8"/>
  <c r="R65" i="8"/>
  <c r="R82" i="8"/>
  <c r="R75" i="8"/>
  <c r="S79" i="8"/>
  <c r="S72" i="8"/>
  <c r="P66" i="8"/>
  <c r="L85" i="8"/>
  <c r="G79" i="8"/>
  <c r="P85" i="8"/>
  <c r="H75" i="8"/>
  <c r="D67" i="8"/>
  <c r="L78" i="8"/>
  <c r="E68" i="8"/>
  <c r="O73" i="8"/>
  <c r="M83" i="8"/>
  <c r="D82" i="8"/>
  <c r="O82" i="8"/>
  <c r="J66" i="8"/>
  <c r="N83" i="8"/>
  <c r="I76" i="8"/>
  <c r="L89" i="8"/>
  <c r="Q76" i="8"/>
  <c r="K73" i="8"/>
  <c r="F75" i="8"/>
  <c r="J78" i="8"/>
  <c r="I72" i="8"/>
  <c r="N66" i="8"/>
  <c r="H87" i="8"/>
  <c r="G68" i="8"/>
  <c r="P84" i="8"/>
  <c r="O69" i="8"/>
  <c r="N86" i="8"/>
  <c r="K88" i="8"/>
  <c r="O75" i="8"/>
  <c r="P72" i="8"/>
  <c r="E66" i="8"/>
  <c r="E81" i="8"/>
  <c r="H69" i="8"/>
  <c r="F73" i="8"/>
  <c r="I71" i="8"/>
  <c r="J75" i="8"/>
  <c r="S67" i="8"/>
  <c r="R83" i="8"/>
  <c r="R76" i="8"/>
  <c r="R67" i="8"/>
  <c r="R88" i="8"/>
  <c r="L70" i="8"/>
  <c r="M85" i="8"/>
  <c r="F79" i="8"/>
  <c r="Q85" i="8"/>
  <c r="O81" i="8"/>
  <c r="O79" i="8"/>
  <c r="F74" i="8"/>
  <c r="N71" i="8"/>
  <c r="K70" i="8"/>
  <c r="E82" i="8"/>
  <c r="E88" i="8"/>
  <c r="P73" i="8"/>
  <c r="M89" i="8"/>
  <c r="H77" i="8"/>
  <c r="J73" i="8"/>
  <c r="I81" i="8"/>
  <c r="D78" i="8"/>
  <c r="I87" i="8"/>
  <c r="N87" i="8"/>
  <c r="N69" i="8"/>
  <c r="N76" i="8"/>
  <c r="D75" i="8"/>
  <c r="K89" i="8"/>
  <c r="G72" i="8"/>
  <c r="E83" i="8"/>
  <c r="E89" i="8"/>
  <c r="I69" i="8"/>
  <c r="O85" i="8"/>
  <c r="G82" i="8"/>
  <c r="K75" i="8"/>
  <c r="S68" i="8"/>
  <c r="S87" i="8"/>
  <c r="S80" i="8"/>
  <c r="R68" i="8"/>
  <c r="R89" i="8"/>
  <c r="G89" i="8"/>
  <c r="H82" i="8"/>
  <c r="H85" i="8"/>
  <c r="N81" i="8"/>
  <c r="E67" i="8"/>
  <c r="P75" i="8"/>
  <c r="M78" i="8"/>
  <c r="D69" i="8"/>
  <c r="J70" i="8"/>
  <c r="O88" i="8"/>
  <c r="G83" i="8"/>
  <c r="D71" i="8"/>
  <c r="Q73" i="8"/>
  <c r="K66" i="8"/>
  <c r="F80" i="8"/>
  <c r="G81" i="8"/>
  <c r="L86" i="8"/>
  <c r="I77" i="8"/>
  <c r="J83" i="8"/>
  <c r="G71" i="8"/>
  <c r="K78" i="8"/>
  <c r="Q70" i="8"/>
  <c r="E78" i="8"/>
  <c r="O66" i="8"/>
  <c r="P77" i="8"/>
  <c r="Q84" i="8"/>
  <c r="N74" i="8"/>
  <c r="L77" i="8"/>
  <c r="Q72" i="8"/>
  <c r="H73" i="8"/>
  <c r="O77" i="8"/>
  <c r="J89" i="8"/>
  <c r="F85" i="8"/>
  <c r="D83" i="8"/>
  <c r="D89" i="8"/>
  <c r="F88" i="8"/>
  <c r="H84" i="8"/>
  <c r="N72" i="8"/>
  <c r="G77" i="8"/>
  <c r="F87" i="8"/>
  <c r="G69" i="8"/>
  <c r="S69" i="8"/>
  <c r="R77" i="8"/>
  <c r="S81" i="8"/>
  <c r="R69" i="8"/>
  <c r="S89" i="8"/>
  <c r="F89" i="8"/>
  <c r="M70" i="8"/>
  <c r="L66" i="8"/>
  <c r="I85" i="8"/>
  <c r="P87" i="8"/>
  <c r="N80" i="8"/>
  <c r="Q75" i="8"/>
  <c r="G74" i="8"/>
  <c r="L80" i="8"/>
  <c r="O71" i="8"/>
  <c r="I67" i="8"/>
  <c r="F83" i="8"/>
  <c r="D84" i="8"/>
  <c r="L68" i="8"/>
  <c r="F81" i="8"/>
  <c r="M86" i="8"/>
  <c r="L82" i="8"/>
  <c r="F71" i="8"/>
  <c r="D74" i="8"/>
  <c r="P70" i="8"/>
  <c r="L84" i="8"/>
  <c r="Q77" i="8"/>
  <c r="O87" i="8"/>
  <c r="H71" i="8"/>
  <c r="E73" i="8"/>
  <c r="O76" i="8"/>
  <c r="E75" i="8"/>
  <c r="N77" i="8"/>
  <c r="F86" i="8"/>
  <c r="G85" i="8"/>
  <c r="L71" i="8"/>
  <c r="I84" i="8"/>
  <c r="F77" i="8"/>
  <c r="F69" i="8"/>
  <c r="K77" i="8"/>
  <c r="R87" i="8"/>
  <c r="R78" i="8"/>
  <c r="S82" i="8"/>
  <c r="S73" i="8"/>
  <c r="S66" i="8"/>
  <c r="I82" i="8"/>
  <c r="P81" i="8"/>
  <c r="H70" i="8"/>
  <c r="E69" i="8"/>
  <c r="N67" i="8"/>
  <c r="H67" i="8"/>
  <c r="N88" i="8"/>
  <c r="D77" i="8"/>
  <c r="E84" i="8"/>
  <c r="E71" i="8"/>
  <c r="I79" i="8"/>
  <c r="G80" i="8"/>
  <c r="H83" i="8"/>
  <c r="P68" i="8"/>
  <c r="K83" i="8"/>
  <c r="E74" i="8"/>
  <c r="M72" i="8"/>
  <c r="P80" i="8"/>
  <c r="Q86" i="8"/>
  <c r="D73" i="8"/>
  <c r="O74" i="8"/>
  <c r="Q78" i="8"/>
  <c r="M77" i="8"/>
  <c r="N70" i="8"/>
  <c r="I73" i="8"/>
  <c r="L88" i="8"/>
  <c r="D85" i="8"/>
  <c r="G88" i="8"/>
  <c r="O72" i="8"/>
  <c r="N68" i="8"/>
  <c r="G78" i="8"/>
  <c r="G87" i="8"/>
  <c r="H89" i="8"/>
  <c r="J77" i="8"/>
  <c r="S88" i="8"/>
  <c r="R79" i="8"/>
  <c r="R71" i="8"/>
  <c r="S74" i="8"/>
  <c r="R70" i="8"/>
  <c r="L69" i="8"/>
  <c r="M66" i="8"/>
  <c r="F70" i="8"/>
  <c r="Q81" i="8"/>
  <c r="Q87" i="8"/>
  <c r="L73" i="8"/>
  <c r="O80" i="8"/>
  <c r="K85" i="8"/>
  <c r="M80" i="8"/>
  <c r="N78" i="8"/>
  <c r="J80" i="8"/>
  <c r="D70" i="8"/>
  <c r="H79" i="8"/>
  <c r="M68" i="8"/>
  <c r="D80" i="8"/>
  <c r="M82" i="8"/>
  <c r="L72" i="8"/>
  <c r="M84" i="8"/>
  <c r="J81" i="8"/>
  <c r="P86" i="8"/>
  <c r="P78" i="8"/>
  <c r="L79" i="8"/>
  <c r="G67" i="8"/>
  <c r="G86" i="8"/>
  <c r="M71" i="8"/>
  <c r="L75" i="8"/>
  <c r="F78" i="8"/>
  <c r="R84" i="8"/>
  <c r="S83" i="8"/>
  <c r="R72" i="8"/>
  <c r="S75" i="8"/>
  <c r="S76" i="8"/>
  <c r="G70" i="8"/>
  <c r="P89" i="8"/>
  <c r="I70" i="8"/>
  <c r="I80" i="8"/>
  <c r="J85" i="8"/>
  <c r="D72" i="8"/>
  <c r="O67" i="8"/>
  <c r="J72" i="8"/>
  <c r="K80" i="8"/>
  <c r="E77" i="8"/>
  <c r="E70" i="8"/>
  <c r="H66" i="8"/>
  <c r="I83" i="8"/>
  <c r="H86" i="8"/>
  <c r="E80" i="8"/>
  <c r="Q68" i="8"/>
  <c r="M87" i="8"/>
  <c r="L74" i="8"/>
  <c r="K67" i="8"/>
  <c r="F76" i="8"/>
  <c r="Q80" i="8"/>
  <c r="P88" i="8"/>
  <c r="D76" i="8"/>
  <c r="D79" i="8"/>
  <c r="O70" i="8"/>
  <c r="M88" i="8"/>
  <c r="F84" i="8"/>
  <c r="I88" i="8"/>
  <c r="E85" i="8"/>
  <c r="F66" i="8"/>
  <c r="O68" i="8"/>
  <c r="P79" i="8"/>
  <c r="I89" i="8"/>
  <c r="J79" i="8"/>
  <c r="R85" i="8"/>
  <c r="S84" i="8"/>
  <c r="R73" i="8"/>
  <c r="R66" i="8"/>
  <c r="R80" i="8"/>
  <c r="M69" i="8"/>
  <c r="H74" i="8"/>
  <c r="J71" i="8"/>
  <c r="P83" i="8"/>
  <c r="M73" i="8"/>
  <c r="J74" i="8"/>
  <c r="K87" i="8"/>
  <c r="H80" i="8"/>
  <c r="L76" i="8"/>
  <c r="E72" i="8"/>
  <c r="O78" i="8"/>
  <c r="K86" i="8"/>
  <c r="D86" i="8"/>
  <c r="L67" i="8"/>
  <c r="I86" i="8"/>
  <c r="I68" i="8"/>
  <c r="L87" i="8"/>
  <c r="J76" i="8"/>
  <c r="J67" i="8"/>
  <c r="J68" i="8"/>
  <c r="K81" i="8"/>
  <c r="P82" i="8"/>
  <c r="E76" i="8"/>
  <c r="M79" i="8"/>
  <c r="Q74" i="8"/>
  <c r="F67" i="8"/>
  <c r="H78" i="8"/>
  <c r="H88" i="8"/>
  <c r="D87" i="8"/>
  <c r="M75" i="8"/>
  <c r="K69" i="8"/>
  <c r="Q79" i="8"/>
  <c r="N89" i="8"/>
  <c r="R86" i="8"/>
  <c r="S85" i="8"/>
  <c r="S77" i="8"/>
  <c r="S70" i="8"/>
  <c r="S86" i="8"/>
  <c r="L81" i="8"/>
  <c r="K71" i="8"/>
  <c r="Q83" i="8"/>
  <c r="Q89" i="8"/>
  <c r="P71" i="8"/>
  <c r="J87" i="8"/>
  <c r="J82" i="8"/>
  <c r="N73" i="8"/>
  <c r="K72" i="8"/>
  <c r="J86" i="8"/>
  <c r="E86" i="8"/>
  <c r="I66" i="8"/>
  <c r="H76" i="8"/>
  <c r="P69" i="8"/>
  <c r="H68" i="8"/>
  <c r="M74" i="8"/>
  <c r="H72" i="8"/>
  <c r="G76" i="8"/>
  <c r="F68" i="8"/>
  <c r="Q88" i="8"/>
  <c r="N84" i="8"/>
  <c r="E79" i="8"/>
  <c r="N75" i="8"/>
  <c r="P74" i="8"/>
  <c r="G84" i="8"/>
  <c r="D81" i="8"/>
  <c r="E87" i="8"/>
  <c r="G66" i="8"/>
  <c r="P67" i="8"/>
  <c r="J69" i="8"/>
  <c r="J84" i="8"/>
  <c r="K79" i="8"/>
  <c r="R81" i="8"/>
  <c r="R74" i="8"/>
  <c r="S78" i="8"/>
  <c r="S71" i="8"/>
  <c r="Q66" i="8"/>
  <c r="M81" i="8"/>
  <c r="I74" i="8"/>
  <c r="I75" i="8"/>
  <c r="Q71" i="8"/>
  <c r="K74" i="8"/>
  <c r="N79" i="8"/>
  <c r="K82" i="8"/>
  <c r="M76" i="8"/>
  <c r="D68" i="8"/>
  <c r="L83" i="8"/>
  <c r="D88" i="8"/>
  <c r="N82" i="8"/>
  <c r="M67" i="8"/>
  <c r="O83" i="8"/>
  <c r="P76" i="8"/>
  <c r="Q69" i="8"/>
  <c r="H81" i="8"/>
  <c r="G75" i="8"/>
  <c r="K76" i="8"/>
  <c r="K68" i="8"/>
  <c r="Q82" i="8"/>
  <c r="S73" i="7"/>
  <c r="J73" i="7"/>
  <c r="Q73" i="7"/>
  <c r="N83" i="7"/>
  <c r="D86" i="7"/>
  <c r="S79" i="7"/>
  <c r="M89" i="7"/>
  <c r="D79" i="7"/>
  <c r="K76" i="7"/>
  <c r="S87" i="7"/>
  <c r="L81" i="7"/>
  <c r="L88" i="7"/>
  <c r="G78" i="7"/>
  <c r="K75" i="7"/>
  <c r="G75" i="7"/>
  <c r="E88" i="7"/>
  <c r="H77" i="7"/>
  <c r="Q74" i="7"/>
  <c r="E89" i="7"/>
  <c r="H80" i="7"/>
  <c r="Q77" i="7"/>
  <c r="I83" i="7"/>
  <c r="J78" i="7"/>
  <c r="J89" i="7"/>
  <c r="S74" i="7"/>
  <c r="M83" i="7"/>
  <c r="G81" i="7"/>
  <c r="K86" i="7"/>
  <c r="R88" i="7"/>
  <c r="E87" i="7"/>
  <c r="P73" i="7"/>
  <c r="M73" i="7"/>
  <c r="O83" i="7"/>
  <c r="R79" i="7"/>
  <c r="N84" i="7"/>
  <c r="M82" i="7"/>
  <c r="E79" i="7"/>
  <c r="M81" i="7"/>
  <c r="P78" i="7"/>
  <c r="G85" i="7"/>
  <c r="N76" i="7"/>
  <c r="N88" i="7"/>
  <c r="I77" i="7"/>
  <c r="J74" i="7"/>
  <c r="P74" i="7"/>
  <c r="G77" i="7"/>
  <c r="D74" i="7"/>
  <c r="K78" i="7"/>
  <c r="P81" i="7"/>
  <c r="H84" i="7"/>
  <c r="Q86" i="7"/>
  <c r="D87" i="7"/>
  <c r="F76" i="7"/>
  <c r="P76" i="7"/>
  <c r="I82" i="7"/>
  <c r="G73" i="7"/>
  <c r="N73" i="7"/>
  <c r="O79" i="7"/>
  <c r="H82" i="7"/>
  <c r="O80" i="7"/>
  <c r="S85" i="7"/>
  <c r="N77" i="7"/>
  <c r="D75" i="7"/>
  <c r="J75" i="7"/>
  <c r="O74" i="7"/>
  <c r="F75" i="7"/>
  <c r="S84" i="7"/>
  <c r="O88" i="7"/>
  <c r="D88" i="7"/>
  <c r="F74" i="7"/>
  <c r="K74" i="7"/>
  <c r="O86" i="7"/>
  <c r="P77" i="7"/>
  <c r="G80" i="7"/>
  <c r="O87" i="7"/>
  <c r="R74" i="7"/>
  <c r="G83" i="7"/>
  <c r="S76" i="7"/>
  <c r="F81" i="7"/>
  <c r="Q83" i="7"/>
  <c r="J82" i="7"/>
  <c r="Q76" i="7"/>
  <c r="F73" i="7"/>
  <c r="D73" i="7"/>
  <c r="N79" i="7"/>
  <c r="L82" i="7"/>
  <c r="O77" i="7"/>
  <c r="L79" i="7"/>
  <c r="D85" i="7"/>
  <c r="E75" i="7"/>
  <c r="O78" i="7"/>
  <c r="F85" i="7"/>
  <c r="S78" i="7"/>
  <c r="G84" i="7"/>
  <c r="G74" i="7"/>
  <c r="S82" i="7"/>
  <c r="F77" i="7"/>
  <c r="S89" i="7"/>
  <c r="F86" i="7"/>
  <c r="F80" i="7"/>
  <c r="L75" i="7"/>
  <c r="N87" i="7"/>
  <c r="I84" i="7"/>
  <c r="M80" i="7"/>
  <c r="R76" i="7"/>
  <c r="I74" i="7"/>
  <c r="P86" i="7"/>
  <c r="K82" i="7"/>
  <c r="O73" i="7"/>
  <c r="G79" i="7"/>
  <c r="M78" i="7"/>
  <c r="N80" i="7"/>
  <c r="H75" i="7"/>
  <c r="R85" i="7"/>
  <c r="Q85" i="7"/>
  <c r="M79" i="7"/>
  <c r="E85" i="7"/>
  <c r="N74" i="7"/>
  <c r="E82" i="7"/>
  <c r="R84" i="7"/>
  <c r="S86" i="7"/>
  <c r="M76" i="7"/>
  <c r="N86" i="7"/>
  <c r="R89" i="7"/>
  <c r="G86" i="7"/>
  <c r="D77" i="7"/>
  <c r="M75" i="7"/>
  <c r="E78" i="7"/>
  <c r="F83" i="7"/>
  <c r="P83" i="7"/>
  <c r="D83" i="7"/>
  <c r="J88" i="7"/>
  <c r="E73" i="7"/>
  <c r="L78" i="7"/>
  <c r="M86" i="7"/>
  <c r="H85" i="7"/>
  <c r="I75" i="7"/>
  <c r="R75" i="7"/>
  <c r="J85" i="7"/>
  <c r="N78" i="7"/>
  <c r="L85" i="7"/>
  <c r="R78" i="7"/>
  <c r="O89" i="7"/>
  <c r="F84" i="7"/>
  <c r="J84" i="7"/>
  <c r="R82" i="7"/>
  <c r="E84" i="7"/>
  <c r="N75" i="7"/>
  <c r="G89" i="7"/>
  <c r="E77" i="7"/>
  <c r="L80" i="7"/>
  <c r="E80" i="7"/>
  <c r="S80" i="7"/>
  <c r="H74" i="7"/>
  <c r="E83" i="7"/>
  <c r="H73" i="7"/>
  <c r="O82" i="7"/>
  <c r="M84" i="7"/>
  <c r="F79" i="7"/>
  <c r="Q79" i="7"/>
  <c r="I85" i="7"/>
  <c r="P85" i="7"/>
  <c r="P88" i="7"/>
  <c r="H81" i="7"/>
  <c r="K85" i="7"/>
  <c r="P84" i="7"/>
  <c r="M85" i="7"/>
  <c r="D82" i="7"/>
  <c r="Q75" i="7"/>
  <c r="R86" i="7"/>
  <c r="D81" i="7"/>
  <c r="K84" i="7"/>
  <c r="L76" i="7"/>
  <c r="O75" i="7"/>
  <c r="Q87" i="7"/>
  <c r="L74" i="7"/>
  <c r="D78" i="7"/>
  <c r="O81" i="7"/>
  <c r="R80" i="7"/>
  <c r="L77" i="7"/>
  <c r="H88" i="7"/>
  <c r="N85" i="7"/>
  <c r="J77" i="7"/>
  <c r="K88" i="7"/>
  <c r="O85" i="7"/>
  <c r="L84" i="7"/>
  <c r="E76" i="7"/>
  <c r="L86" i="7"/>
  <c r="J81" i="7"/>
  <c r="S75" i="7"/>
  <c r="Q89" i="7"/>
  <c r="Q88" i="7"/>
  <c r="I81" i="7"/>
  <c r="J80" i="7"/>
  <c r="Q84" i="7"/>
  <c r="I78" i="7"/>
  <c r="N89" i="7"/>
  <c r="G87" i="7"/>
  <c r="E81" i="7"/>
  <c r="S77" i="7"/>
  <c r="H87" i="7"/>
  <c r="D84" i="7"/>
  <c r="Q82" i="7"/>
  <c r="F89" i="7"/>
  <c r="K83" i="7"/>
  <c r="R81" i="7"/>
  <c r="M74" i="7"/>
  <c r="D80" i="7"/>
  <c r="K87" i="7"/>
  <c r="M77" i="7"/>
  <c r="I88" i="7"/>
  <c r="G88" i="7"/>
  <c r="H79" i="7"/>
  <c r="K77" i="7"/>
  <c r="I73" i="7"/>
  <c r="N82" i="7"/>
  <c r="E86" i="7"/>
  <c r="P79" i="7"/>
  <c r="L89" i="7"/>
  <c r="F82" i="7"/>
  <c r="K81" i="7"/>
  <c r="K80" i="7"/>
  <c r="H89" i="7"/>
  <c r="P75" i="7"/>
  <c r="L87" i="7"/>
  <c r="K79" i="7"/>
  <c r="R77" i="7"/>
  <c r="I87" i="7"/>
  <c r="P82" i="7"/>
  <c r="P87" i="7"/>
  <c r="S81" i="7"/>
  <c r="K89" i="7"/>
  <c r="R83" i="7"/>
  <c r="N81" i="7"/>
  <c r="I76" i="7"/>
  <c r="S88" i="7"/>
  <c r="I79" i="7"/>
  <c r="P80" i="7"/>
  <c r="H86" i="7"/>
  <c r="R73" i="7"/>
  <c r="K73" i="7"/>
  <c r="L73" i="7"/>
  <c r="D76" i="7"/>
  <c r="O84" i="7"/>
  <c r="G82" i="7"/>
  <c r="J76" i="7"/>
  <c r="R87" i="7"/>
  <c r="P89" i="7"/>
  <c r="M88" i="7"/>
  <c r="F78" i="7"/>
  <c r="Q78" i="7"/>
  <c r="I89" i="7"/>
  <c r="H78" i="7"/>
  <c r="O76" i="7"/>
  <c r="M87" i="7"/>
  <c r="F87" i="7"/>
  <c r="J79" i="7"/>
  <c r="D89" i="7"/>
  <c r="I80" i="7"/>
  <c r="E74" i="7"/>
  <c r="H83" i="7"/>
  <c r="J83" i="7"/>
  <c r="Q81" i="7"/>
  <c r="S83" i="7"/>
  <c r="L83" i="7"/>
  <c r="H76" i="7"/>
  <c r="J87" i="7"/>
  <c r="J86" i="7"/>
  <c r="F88" i="7"/>
  <c r="G76" i="7"/>
  <c r="Q80" i="7"/>
  <c r="I86" i="7"/>
  <c r="H67" i="7"/>
  <c r="P69" i="7"/>
  <c r="G66" i="7"/>
  <c r="L68" i="7"/>
  <c r="E66" i="7"/>
  <c r="G69" i="7"/>
  <c r="H69" i="7"/>
  <c r="D72" i="7"/>
  <c r="L70" i="7"/>
  <c r="P71" i="7"/>
  <c r="P66" i="7"/>
  <c r="F66" i="7"/>
  <c r="D69" i="7"/>
  <c r="D66" i="7"/>
  <c r="O68" i="7"/>
  <c r="L71" i="7"/>
  <c r="F69" i="7"/>
  <c r="M69" i="7"/>
  <c r="K69" i="7"/>
  <c r="L67" i="7"/>
  <c r="O71" i="7"/>
  <c r="I67" i="7"/>
  <c r="N70" i="7"/>
  <c r="P65" i="7"/>
  <c r="Q72" i="7"/>
  <c r="H68" i="7"/>
  <c r="N66" i="7"/>
  <c r="I69" i="7"/>
  <c r="J66" i="7"/>
  <c r="N71" i="7"/>
  <c r="F68" i="7"/>
  <c r="P70" i="7"/>
  <c r="I68" i="7"/>
  <c r="E69" i="7"/>
  <c r="J68" i="7"/>
  <c r="M71" i="7"/>
  <c r="M66" i="7"/>
  <c r="J69" i="7"/>
  <c r="E68" i="7"/>
  <c r="M67" i="7"/>
  <c r="M72" i="7"/>
  <c r="O70" i="7"/>
  <c r="P67" i="7"/>
  <c r="P68" i="7"/>
  <c r="D71" i="7"/>
  <c r="O66" i="7"/>
  <c r="H71" i="7"/>
  <c r="L66" i="7"/>
  <c r="H66" i="7"/>
  <c r="D68" i="7"/>
  <c r="K66" i="7"/>
  <c r="G67" i="7"/>
  <c r="L72" i="7"/>
  <c r="G68" i="7"/>
  <c r="Q70" i="7"/>
  <c r="Q71" i="7"/>
  <c r="E71" i="7"/>
  <c r="K68" i="7"/>
  <c r="J72" i="7"/>
  <c r="D67" i="7"/>
  <c r="F72" i="7"/>
  <c r="I66" i="7"/>
  <c r="K67" i="7"/>
  <c r="F67" i="7"/>
  <c r="H70" i="7"/>
  <c r="J70" i="7"/>
  <c r="G71" i="7"/>
  <c r="Q67" i="7"/>
  <c r="K71" i="7"/>
  <c r="I71" i="7"/>
  <c r="H72" i="7"/>
  <c r="E70" i="7"/>
  <c r="J67" i="7"/>
  <c r="I70" i="7"/>
  <c r="F71" i="7"/>
  <c r="Q69" i="7"/>
  <c r="Q68" i="7"/>
  <c r="J71" i="7"/>
  <c r="K72" i="7"/>
  <c r="N72" i="7"/>
  <c r="I72" i="7"/>
  <c r="E67" i="7"/>
  <c r="G72" i="7"/>
  <c r="D70" i="7"/>
  <c r="F70" i="7"/>
  <c r="K70" i="7"/>
  <c r="P72" i="7"/>
  <c r="O69" i="7"/>
  <c r="O67" i="7"/>
  <c r="Q66" i="7"/>
  <c r="M68" i="7"/>
  <c r="N68" i="7"/>
  <c r="O72" i="7"/>
  <c r="L69" i="7"/>
  <c r="N69" i="7"/>
  <c r="E72" i="7"/>
  <c r="N67" i="7"/>
  <c r="G70" i="7"/>
  <c r="M70" i="7"/>
  <c r="E71" i="6"/>
  <c r="I72" i="6"/>
  <c r="N70" i="6"/>
  <c r="M66" i="6"/>
  <c r="K66" i="6"/>
  <c r="F67" i="6"/>
  <c r="K70" i="6"/>
  <c r="P69" i="6"/>
  <c r="D70" i="6"/>
  <c r="D71" i="6"/>
  <c r="I66" i="6"/>
  <c r="O72" i="6"/>
  <c r="E67" i="6"/>
  <c r="L66" i="6"/>
  <c r="M68" i="6"/>
  <c r="M70" i="6"/>
  <c r="M71" i="6"/>
  <c r="E68" i="6"/>
  <c r="M73" i="6"/>
  <c r="P71" i="6"/>
  <c r="P70" i="6"/>
  <c r="H66" i="6"/>
  <c r="O70" i="6"/>
  <c r="D67" i="6"/>
  <c r="N67" i="6"/>
  <c r="G73" i="6"/>
  <c r="G71" i="6"/>
  <c r="L70" i="6"/>
  <c r="I68" i="6"/>
  <c r="D68" i="6"/>
  <c r="P67" i="6"/>
  <c r="P66" i="6"/>
  <c r="F68" i="6"/>
  <c r="L69" i="6"/>
  <c r="H69" i="6"/>
  <c r="J72" i="6"/>
  <c r="F73" i="6"/>
  <c r="J73" i="6"/>
  <c r="F71" i="6"/>
  <c r="H68" i="6"/>
  <c r="N66" i="6"/>
  <c r="O69" i="6"/>
  <c r="Q69" i="6"/>
  <c r="Q72" i="6"/>
  <c r="G68" i="6"/>
  <c r="I70" i="6"/>
  <c r="I69" i="6"/>
  <c r="O67" i="6"/>
  <c r="H71" i="6"/>
  <c r="O73" i="6"/>
  <c r="K73" i="6"/>
  <c r="J69" i="6"/>
  <c r="N68" i="6"/>
  <c r="N69" i="6"/>
  <c r="Q67" i="6"/>
  <c r="P68" i="6"/>
  <c r="M69" i="6"/>
  <c r="J71" i="6"/>
  <c r="H70" i="6"/>
  <c r="D69" i="6"/>
  <c r="K72" i="6"/>
  <c r="N73" i="6"/>
  <c r="F66" i="6"/>
  <c r="O66" i="6"/>
  <c r="J68" i="6"/>
  <c r="P65" i="6"/>
  <c r="Q71" i="6"/>
  <c r="H67" i="6"/>
  <c r="K71" i="6"/>
  <c r="E66" i="6"/>
  <c r="E69" i="6"/>
  <c r="H73" i="6"/>
  <c r="O71" i="6"/>
  <c r="I71" i="6"/>
  <c r="K69" i="6"/>
  <c r="J67" i="6"/>
  <c r="O68" i="6"/>
  <c r="F70" i="6"/>
  <c r="Q66" i="6"/>
  <c r="G69" i="6"/>
  <c r="D73" i="6"/>
  <c r="D66" i="6"/>
  <c r="L67" i="6"/>
  <c r="N71" i="6"/>
  <c r="G66" i="6"/>
  <c r="K67" i="6"/>
  <c r="L72" i="6"/>
  <c r="K68" i="6"/>
  <c r="Q70" i="6"/>
  <c r="Q68" i="6"/>
  <c r="F69" i="6"/>
  <c r="I67" i="6"/>
  <c r="H72" i="6"/>
  <c r="F72" i="6"/>
  <c r="I73" i="6"/>
  <c r="J66" i="6"/>
  <c r="G70" i="6"/>
  <c r="J70" i="6"/>
  <c r="P73" i="6"/>
  <c r="P72" i="6"/>
  <c r="E72" i="6"/>
  <c r="E73" i="6"/>
  <c r="N72" i="6"/>
  <c r="G72" i="6"/>
  <c r="M67" i="6"/>
  <c r="L68" i="6"/>
  <c r="G67" i="6"/>
  <c r="L71" i="6"/>
  <c r="M72" i="6"/>
  <c r="L73" i="6"/>
  <c r="Q73" i="6"/>
  <c r="E70" i="6"/>
  <c r="D72" i="6"/>
  <c r="D67" i="5"/>
  <c r="K71" i="5"/>
  <c r="G68" i="5"/>
  <c r="G71" i="5"/>
  <c r="M66" i="5"/>
  <c r="H69" i="5"/>
  <c r="O73" i="5"/>
  <c r="P68" i="5"/>
  <c r="S66" i="5"/>
  <c r="S69" i="5"/>
  <c r="G69" i="5"/>
  <c r="M68" i="5"/>
  <c r="G72" i="5"/>
  <c r="L72" i="5"/>
  <c r="E73" i="5"/>
  <c r="N70" i="5"/>
  <c r="O66" i="5"/>
  <c r="P69" i="5"/>
  <c r="G73" i="5"/>
  <c r="I69" i="5"/>
  <c r="P67" i="5"/>
  <c r="H70" i="5"/>
  <c r="N73" i="5"/>
  <c r="R70" i="5"/>
  <c r="R73" i="5"/>
  <c r="M72" i="5"/>
  <c r="D73" i="5"/>
  <c r="Q69" i="5"/>
  <c r="F71" i="5"/>
  <c r="M69" i="5"/>
  <c r="N72" i="5"/>
  <c r="Q67" i="5"/>
  <c r="I70" i="5"/>
  <c r="P70" i="5"/>
  <c r="R68" i="5"/>
  <c r="S73" i="5"/>
  <c r="F69" i="5"/>
  <c r="O69" i="5"/>
  <c r="H72" i="5"/>
  <c r="O70" i="5"/>
  <c r="F70" i="5"/>
  <c r="K72" i="5"/>
  <c r="D68" i="5"/>
  <c r="F73" i="5"/>
  <c r="D70" i="5"/>
  <c r="F66" i="5"/>
  <c r="Q70" i="5"/>
  <c r="R66" i="5"/>
  <c r="S70" i="5"/>
  <c r="K66" i="5"/>
  <c r="N69" i="5"/>
  <c r="I72" i="5"/>
  <c r="G67" i="5"/>
  <c r="J72" i="5"/>
  <c r="P71" i="5"/>
  <c r="E68" i="5"/>
  <c r="L69" i="5"/>
  <c r="E70" i="5"/>
  <c r="O72" i="5"/>
  <c r="H67" i="5"/>
  <c r="P72" i="5"/>
  <c r="R72" i="5"/>
  <c r="Q66" i="5"/>
  <c r="J66" i="5"/>
  <c r="M67" i="5"/>
  <c r="E69" i="5"/>
  <c r="G70" i="5"/>
  <c r="Q71" i="5"/>
  <c r="L70" i="5"/>
  <c r="K68" i="5"/>
  <c r="I67" i="5"/>
  <c r="G66" i="5"/>
  <c r="P66" i="5"/>
  <c r="H71" i="5"/>
  <c r="D69" i="5"/>
  <c r="O67" i="5"/>
  <c r="F67" i="5"/>
  <c r="J67" i="5"/>
  <c r="H68" i="5"/>
  <c r="M70" i="5"/>
  <c r="J68" i="5"/>
  <c r="D72" i="5"/>
  <c r="H66" i="5"/>
  <c r="N68" i="5"/>
  <c r="M71" i="5"/>
  <c r="Q72" i="5"/>
  <c r="S67" i="5"/>
  <c r="I71" i="5"/>
  <c r="R69" i="5"/>
  <c r="L67" i="5"/>
  <c r="N67" i="5"/>
  <c r="K67" i="5"/>
  <c r="I68" i="5"/>
  <c r="P73" i="5"/>
  <c r="O71" i="5"/>
  <c r="J73" i="5"/>
  <c r="E72" i="5"/>
  <c r="I66" i="5"/>
  <c r="J69" i="5"/>
  <c r="L71" i="5"/>
  <c r="R67" i="5"/>
  <c r="R71" i="5"/>
  <c r="D66" i="5"/>
  <c r="K70" i="5"/>
  <c r="E71" i="5"/>
  <c r="F68" i="5"/>
  <c r="M73" i="5"/>
  <c r="H73" i="5"/>
  <c r="Q73" i="5"/>
  <c r="N71" i="5"/>
  <c r="K73" i="5"/>
  <c r="K69" i="5"/>
  <c r="O68" i="5"/>
  <c r="S68" i="5"/>
  <c r="S71" i="5"/>
  <c r="E66" i="5"/>
  <c r="J70" i="5"/>
  <c r="F72" i="5"/>
  <c r="E67" i="5"/>
  <c r="D71" i="5"/>
  <c r="J71" i="5"/>
  <c r="L73" i="5"/>
  <c r="N66" i="5"/>
  <c r="I73" i="5"/>
  <c r="L66" i="5"/>
  <c r="Q68" i="5"/>
  <c r="R65" i="5"/>
  <c r="S72" i="5"/>
  <c r="L68" i="5"/>
  <c r="L72" i="4"/>
  <c r="O72" i="4"/>
  <c r="P67" i="4"/>
  <c r="I69" i="4"/>
  <c r="F68" i="4"/>
  <c r="E69" i="4"/>
  <c r="R69" i="4"/>
  <c r="S73" i="4"/>
  <c r="K66" i="4"/>
  <c r="H67" i="4"/>
  <c r="F72" i="4"/>
  <c r="O69" i="4"/>
  <c r="E70" i="4"/>
  <c r="G69" i="4"/>
  <c r="L73" i="4"/>
  <c r="G68" i="4"/>
  <c r="M72" i="4"/>
  <c r="N66" i="4"/>
  <c r="K69" i="4"/>
  <c r="S71" i="4"/>
  <c r="S70" i="4"/>
  <c r="M68" i="4"/>
  <c r="Q73" i="4"/>
  <c r="K71" i="4"/>
  <c r="J70" i="4"/>
  <c r="D70" i="4"/>
  <c r="F69" i="4"/>
  <c r="D69" i="4"/>
  <c r="S72" i="4"/>
  <c r="E66" i="4"/>
  <c r="L68" i="4"/>
  <c r="I67" i="4"/>
  <c r="N71" i="4"/>
  <c r="P73" i="4"/>
  <c r="G72" i="4"/>
  <c r="J72" i="4"/>
  <c r="P66" i="4"/>
  <c r="H73" i="4"/>
  <c r="K70" i="4"/>
  <c r="Q66" i="4"/>
  <c r="O73" i="4"/>
  <c r="N73" i="4"/>
  <c r="M73" i="4"/>
  <c r="P70" i="4"/>
  <c r="D67" i="4"/>
  <c r="H71" i="4"/>
  <c r="O66" i="4"/>
  <c r="D71" i="4"/>
  <c r="G73" i="4"/>
  <c r="R66" i="4"/>
  <c r="D66" i="4"/>
  <c r="O71" i="4"/>
  <c r="N70" i="4"/>
  <c r="E72" i="4"/>
  <c r="J68" i="4"/>
  <c r="Q70" i="4"/>
  <c r="J67" i="4"/>
  <c r="I71" i="4"/>
  <c r="H70" i="4"/>
  <c r="F73" i="4"/>
  <c r="R71" i="4"/>
  <c r="D72" i="4"/>
  <c r="K72" i="4"/>
  <c r="L67" i="4"/>
  <c r="K67" i="4"/>
  <c r="E67" i="4"/>
  <c r="N68" i="4"/>
  <c r="E71" i="4"/>
  <c r="R72" i="4"/>
  <c r="S69" i="4"/>
  <c r="L71" i="4"/>
  <c r="I73" i="4"/>
  <c r="Q69" i="4"/>
  <c r="O70" i="4"/>
  <c r="M66" i="4"/>
  <c r="K73" i="4"/>
  <c r="K68" i="4"/>
  <c r="F66" i="4"/>
  <c r="Q72" i="4"/>
  <c r="I70" i="4"/>
  <c r="S67" i="4"/>
  <c r="R73" i="4"/>
  <c r="F70" i="4"/>
  <c r="P69" i="4"/>
  <c r="P68" i="4"/>
  <c r="L66" i="4"/>
  <c r="J73" i="4"/>
  <c r="H72" i="4"/>
  <c r="M67" i="4"/>
  <c r="P72" i="4"/>
  <c r="M70" i="4"/>
  <c r="G71" i="4"/>
  <c r="O68" i="4"/>
  <c r="D73" i="4"/>
  <c r="R68" i="4"/>
  <c r="S66" i="4"/>
  <c r="M71" i="4"/>
  <c r="L69" i="4"/>
  <c r="E68" i="4"/>
  <c r="I66" i="4"/>
  <c r="G67" i="4"/>
  <c r="I72" i="4"/>
  <c r="O67" i="4"/>
  <c r="G66" i="4"/>
  <c r="H69" i="4"/>
  <c r="L70" i="4"/>
  <c r="F71" i="4"/>
  <c r="I68" i="4"/>
  <c r="E73" i="4"/>
  <c r="R65" i="4"/>
  <c r="R70" i="4"/>
  <c r="J66" i="4"/>
  <c r="G70" i="4"/>
  <c r="Q71" i="4"/>
  <c r="D68" i="4"/>
  <c r="Q68" i="4"/>
  <c r="N69" i="4"/>
  <c r="H66" i="4"/>
  <c r="F67" i="4"/>
  <c r="N72" i="4"/>
  <c r="N67" i="4"/>
  <c r="Q67" i="4"/>
  <c r="H68" i="4"/>
  <c r="J69" i="4"/>
  <c r="S68" i="4"/>
  <c r="R67" i="4"/>
  <c r="M69" i="4"/>
  <c r="P71" i="4"/>
  <c r="J71" i="4"/>
  <c r="J70" i="3"/>
  <c r="G68" i="3"/>
  <c r="D73" i="3"/>
  <c r="P66" i="3"/>
  <c r="P72" i="3"/>
  <c r="N68" i="3"/>
  <c r="L66" i="3"/>
  <c r="F73" i="3"/>
  <c r="F72" i="3"/>
  <c r="Q72" i="3"/>
  <c r="N72" i="3"/>
  <c r="H69" i="3"/>
  <c r="K70" i="3"/>
  <c r="H66" i="3"/>
  <c r="O73" i="3"/>
  <c r="H73" i="3"/>
  <c r="E73" i="3"/>
  <c r="P65" i="3"/>
  <c r="O68" i="3"/>
  <c r="K71" i="3"/>
  <c r="L69" i="3"/>
  <c r="L68" i="3"/>
  <c r="H71" i="3"/>
  <c r="G71" i="3"/>
  <c r="G72" i="3"/>
  <c r="F66" i="3"/>
  <c r="E67" i="3"/>
  <c r="Q66" i="3"/>
  <c r="Q69" i="3"/>
  <c r="O72" i="3"/>
  <c r="J71" i="3"/>
  <c r="I69" i="3"/>
  <c r="E70" i="3"/>
  <c r="F71" i="3"/>
  <c r="N66" i="3"/>
  <c r="M67" i="3"/>
  <c r="K66" i="3"/>
  <c r="N73" i="3"/>
  <c r="I66" i="3"/>
  <c r="I73" i="3"/>
  <c r="D69" i="3"/>
  <c r="P69" i="3"/>
  <c r="P73" i="3"/>
  <c r="O67" i="3"/>
  <c r="D70" i="3"/>
  <c r="M69" i="3"/>
  <c r="O69" i="3"/>
  <c r="I71" i="3"/>
  <c r="M72" i="3"/>
  <c r="G66" i="3"/>
  <c r="M70" i="3"/>
  <c r="M68" i="3"/>
  <c r="H67" i="3"/>
  <c r="I67" i="3"/>
  <c r="J68" i="3"/>
  <c r="P70" i="3"/>
  <c r="P71" i="3"/>
  <c r="N67" i="3"/>
  <c r="O71" i="3"/>
  <c r="N69" i="3"/>
  <c r="L71" i="3"/>
  <c r="L72" i="3"/>
  <c r="O66" i="3"/>
  <c r="L70" i="3"/>
  <c r="D67" i="3"/>
  <c r="H68" i="3"/>
  <c r="N70" i="3"/>
  <c r="E69" i="3"/>
  <c r="P67" i="3"/>
  <c r="P68" i="3"/>
  <c r="L73" i="3"/>
  <c r="G69" i="3"/>
  <c r="K73" i="3"/>
  <c r="N71" i="3"/>
  <c r="H72" i="3"/>
  <c r="I70" i="3"/>
  <c r="J72" i="3"/>
  <c r="K68" i="3"/>
  <c r="D71" i="3"/>
  <c r="Q70" i="3"/>
  <c r="Q71" i="3"/>
  <c r="E68" i="3"/>
  <c r="F69" i="3"/>
  <c r="F70" i="3"/>
  <c r="J73" i="3"/>
  <c r="E66" i="3"/>
  <c r="G67" i="3"/>
  <c r="M71" i="3"/>
  <c r="K67" i="3"/>
  <c r="E72" i="3"/>
  <c r="I68" i="3"/>
  <c r="F68" i="3"/>
  <c r="O70" i="3"/>
  <c r="K69" i="3"/>
  <c r="Q67" i="3"/>
  <c r="D68" i="3"/>
  <c r="M73" i="3"/>
  <c r="D66" i="3"/>
  <c r="F67" i="3"/>
  <c r="J67" i="3"/>
  <c r="I72" i="3"/>
  <c r="D72" i="3"/>
  <c r="L67" i="3"/>
  <c r="K72" i="3"/>
  <c r="J66" i="3"/>
  <c r="J69" i="3"/>
  <c r="E71" i="3"/>
  <c r="Q73" i="3"/>
  <c r="Q68" i="3"/>
  <c r="M66" i="3"/>
  <c r="G70" i="3"/>
  <c r="H70" i="3"/>
  <c r="G73" i="3"/>
  <c r="F70" i="2"/>
  <c r="J72" i="2"/>
  <c r="G70" i="2"/>
  <c r="S70" i="2"/>
  <c r="N67" i="2"/>
  <c r="Q72" i="2"/>
  <c r="Q67" i="2"/>
  <c r="N71" i="2"/>
  <c r="I69" i="2"/>
  <c r="I70" i="2"/>
  <c r="L68" i="2"/>
  <c r="P71" i="2"/>
  <c r="I66" i="2"/>
  <c r="J73" i="2"/>
  <c r="I72" i="2"/>
  <c r="K68" i="2"/>
  <c r="F67" i="2"/>
  <c r="F72" i="2"/>
  <c r="R66" i="2"/>
  <c r="H69" i="2"/>
  <c r="O66" i="2"/>
  <c r="M68" i="2"/>
  <c r="Q71" i="2"/>
  <c r="O67" i="2"/>
  <c r="P70" i="2"/>
  <c r="N73" i="2"/>
  <c r="P68" i="2"/>
  <c r="G71" i="2"/>
  <c r="G66" i="2"/>
  <c r="H73" i="2"/>
  <c r="N70" i="2"/>
  <c r="M66" i="2"/>
  <c r="H66" i="2"/>
  <c r="K73" i="2"/>
  <c r="N69" i="2"/>
  <c r="L73" i="2"/>
  <c r="G72" i="2"/>
  <c r="S66" i="2"/>
  <c r="Q73" i="2"/>
  <c r="L69" i="2"/>
  <c r="F73" i="2"/>
  <c r="H71" i="2"/>
  <c r="N66" i="2"/>
  <c r="P66" i="2"/>
  <c r="Q68" i="2"/>
  <c r="K71" i="2"/>
  <c r="I73" i="2"/>
  <c r="M70" i="2"/>
  <c r="I67" i="2"/>
  <c r="O69" i="2"/>
  <c r="H72" i="2"/>
  <c r="M67" i="2"/>
  <c r="M73" i="2"/>
  <c r="S69" i="2"/>
  <c r="S67" i="2"/>
  <c r="R67" i="2"/>
  <c r="R70" i="2"/>
  <c r="L72" i="2"/>
  <c r="N72" i="2"/>
  <c r="F66" i="2"/>
  <c r="K67" i="2"/>
  <c r="L70" i="2"/>
  <c r="L66" i="2"/>
  <c r="N68" i="2"/>
  <c r="S68" i="2"/>
  <c r="O73" i="2"/>
  <c r="G67" i="2"/>
  <c r="H70" i="2"/>
  <c r="K69" i="2"/>
  <c r="J71" i="2"/>
  <c r="G68" i="2"/>
  <c r="H67" i="2"/>
  <c r="L67" i="2"/>
  <c r="R71" i="2"/>
  <c r="S71" i="2"/>
  <c r="F71" i="2"/>
  <c r="J69" i="2"/>
  <c r="K70" i="2"/>
  <c r="O72" i="2"/>
  <c r="J67" i="2"/>
  <c r="S72" i="2"/>
  <c r="Q70" i="2"/>
  <c r="L71" i="2"/>
  <c r="O70" i="2"/>
  <c r="J68" i="2"/>
  <c r="Q66" i="2"/>
  <c r="J70" i="2"/>
  <c r="Q69" i="2"/>
  <c r="J66" i="2"/>
  <c r="I68" i="2"/>
  <c r="R69" i="2"/>
  <c r="P72" i="2"/>
  <c r="S73" i="2"/>
  <c r="O71" i="2"/>
  <c r="K66" i="2"/>
  <c r="G69" i="2"/>
  <c r="R72" i="2"/>
  <c r="O68" i="2"/>
  <c r="K72" i="2"/>
  <c r="R68" i="2"/>
  <c r="M69" i="2"/>
  <c r="P73" i="2"/>
  <c r="R73" i="2"/>
  <c r="G73" i="2"/>
  <c r="P67" i="2"/>
  <c r="P69" i="2"/>
  <c r="I71" i="2"/>
  <c r="F68" i="2"/>
  <c r="M72" i="2"/>
  <c r="F69" i="2"/>
  <c r="H68" i="2"/>
  <c r="M71" i="2"/>
  <c r="E71" i="2"/>
  <c r="E69" i="2"/>
  <c r="E72" i="2"/>
  <c r="E68" i="2"/>
  <c r="E73" i="2"/>
  <c r="E67" i="2"/>
  <c r="E70" i="2"/>
  <c r="E66" i="2"/>
  <c r="D69" i="2"/>
  <c r="D71" i="2"/>
  <c r="D70" i="2"/>
  <c r="D72" i="2"/>
  <c r="D73" i="2"/>
  <c r="D68" i="2"/>
  <c r="D67" i="2"/>
  <c r="D66" i="2"/>
  <c r="R68" i="7" a="1"/>
  <c r="R71" i="7" a="1"/>
  <c r="S67" i="7" a="1"/>
  <c r="S70" i="7" a="1"/>
  <c r="R65" i="7" a="1"/>
  <c r="R67" i="7" a="1"/>
  <c r="S71" i="7" a="1"/>
  <c r="R70" i="7" a="1"/>
  <c r="S69" i="7" a="1"/>
  <c r="S68" i="7" a="1"/>
  <c r="S66" i="7" a="1"/>
  <c r="R66" i="7" a="1"/>
  <c r="S72" i="7" a="1"/>
  <c r="R72" i="7" a="1"/>
  <c r="R69" i="7" a="1"/>
  <c r="R72" i="6" a="1"/>
  <c r="R71" i="6" a="1"/>
  <c r="R66" i="6" a="1"/>
  <c r="S70" i="6" a="1"/>
  <c r="S72" i="6" a="1"/>
  <c r="S73" i="6" a="1"/>
  <c r="R69" i="6" a="1"/>
  <c r="R67" i="6" a="1"/>
  <c r="S69" i="6" a="1"/>
  <c r="R70" i="6" a="1"/>
  <c r="S68" i="6" a="1"/>
  <c r="S66" i="6" a="1"/>
  <c r="S67" i="6" a="1"/>
  <c r="R73" i="6" a="1"/>
  <c r="R65" i="6" a="1"/>
  <c r="R68" i="6" a="1"/>
  <c r="S71" i="6" a="1"/>
  <c r="S71" i="3" a="1"/>
  <c r="R65" i="3" a="1"/>
  <c r="R67" i="3" a="1"/>
  <c r="R68" i="3" a="1"/>
  <c r="R72" i="3" a="1"/>
  <c r="S70" i="3" a="1"/>
  <c r="R71" i="3" a="1"/>
  <c r="S73" i="3" a="1"/>
  <c r="R66" i="3" a="1"/>
  <c r="S72" i="3" a="1"/>
  <c r="R70" i="3" a="1"/>
  <c r="S67" i="3" a="1"/>
  <c r="S66" i="3" a="1"/>
  <c r="S68" i="3" a="1"/>
  <c r="R73" i="3" a="1"/>
  <c r="S69" i="3" a="1"/>
  <c r="R69" i="3" a="1"/>
  <c r="R69" i="7" l="1"/>
  <c r="R72" i="7"/>
  <c r="S72" i="7"/>
  <c r="R66" i="7"/>
  <c r="S66" i="7"/>
  <c r="S68" i="7"/>
  <c r="S69" i="7"/>
  <c r="R70" i="7"/>
  <c r="S71" i="7"/>
  <c r="R67" i="7"/>
  <c r="R65" i="7"/>
  <c r="S70" i="7"/>
  <c r="S67" i="7"/>
  <c r="R71" i="7"/>
  <c r="R68" i="7"/>
  <c r="S71" i="6"/>
  <c r="R68" i="6"/>
  <c r="R65" i="6"/>
  <c r="R73" i="6"/>
  <c r="S67" i="6"/>
  <c r="S66" i="6"/>
  <c r="S68" i="6"/>
  <c r="R70" i="6"/>
  <c r="S69" i="6"/>
  <c r="R67" i="6"/>
  <c r="R69" i="6"/>
  <c r="S73" i="6"/>
  <c r="S72" i="6"/>
  <c r="S70" i="6"/>
  <c r="R66" i="6"/>
  <c r="R71" i="6"/>
  <c r="R72" i="6"/>
  <c r="R69" i="3"/>
  <c r="S69" i="3"/>
  <c r="R73" i="3"/>
  <c r="S68" i="3"/>
  <c r="S66" i="3"/>
  <c r="S67" i="3"/>
  <c r="R70" i="3"/>
  <c r="S72" i="3"/>
  <c r="R66" i="3"/>
  <c r="S73" i="3"/>
  <c r="R71" i="3"/>
  <c r="S70" i="3"/>
  <c r="R72" i="3"/>
  <c r="R68" i="3"/>
  <c r="R67" i="3"/>
  <c r="R65" i="3"/>
  <c r="S7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<sst xmlns="http://schemas.openxmlformats.org/spreadsheetml/2006/main" count="305" uniqueCount="148">
  <si>
    <t>TestName</t>
  </si>
  <si>
    <t>AMDRyzen5800X-mean_time</t>
  </si>
  <si>
    <t>AMDRyzen5800X-std_dev</t>
  </si>
  <si>
    <t>AMDRyzen5800X-SEM</t>
  </si>
  <si>
    <t>AMDRyzen5800XCO-mean_time</t>
  </si>
  <si>
    <t>AMDRyzen5800XCO-std_dev</t>
  </si>
  <si>
    <t>AMDRyzen5800XCO-SEM</t>
  </si>
  <si>
    <t>AMDTurin-mean_time</t>
  </si>
  <si>
    <t>AMDTurin-std_dev</t>
  </si>
  <si>
    <t>AMDTurin-SEM</t>
  </si>
  <si>
    <t>AMDTurinCO-mean_time</t>
  </si>
  <si>
    <t>AMDTurinCO-std_dev</t>
  </si>
  <si>
    <t>AMDTurinCO-SEM</t>
  </si>
  <si>
    <t>ARM1-mean_time</t>
  </si>
  <si>
    <t>ARM1-std_dev</t>
  </si>
  <si>
    <t>ARM1-SEM</t>
  </si>
  <si>
    <t>ARM1CO-mean_time</t>
  </si>
  <si>
    <t>ARM1CO-std_dev</t>
  </si>
  <si>
    <t>ARM1CO-SEM</t>
  </si>
  <si>
    <t>IntelXeon-mean_time</t>
  </si>
  <si>
    <t>IntelXeon-std_dev</t>
  </si>
  <si>
    <t>IntelXeon-SEM</t>
  </si>
  <si>
    <t>IntelXeonCO-mean_time</t>
  </si>
  <si>
    <t>IntelXeonCO-std_dev</t>
  </si>
  <si>
    <t>IntelXeonCO-SEM</t>
  </si>
  <si>
    <t>Test1/gfortran.x</t>
  </si>
  <si>
    <t>Test1/gfortran_o3.x</t>
  </si>
  <si>
    <t>Test1/gfortran_w_lu2.x</t>
  </si>
  <si>
    <t>Test1/gfortran_w_lu2_o3.x</t>
  </si>
  <si>
    <t>Test1/gfortran_w_lu4.x</t>
  </si>
  <si>
    <t>Test1/gfortran_w_lu8.x</t>
  </si>
  <si>
    <t>Test1/ifx.x</t>
  </si>
  <si>
    <t>Test1/ifx_o3.x</t>
  </si>
  <si>
    <t>Test1/ifx_w_lu2.x</t>
  </si>
  <si>
    <t>Test1/ifx_w_lu2_o3.x</t>
  </si>
  <si>
    <t>Test1/ifx_w_lu4.x</t>
  </si>
  <si>
    <t>Test1/ifx_w_lu8.x</t>
  </si>
  <si>
    <t>Test1/gpp.x</t>
  </si>
  <si>
    <t>Test1/gpp_o3.x</t>
  </si>
  <si>
    <t>Test1/gpp_w_lu2.x</t>
  </si>
  <si>
    <t>Test1/gpp_w_lu2_o3.x</t>
  </si>
  <si>
    <t>Test1/gpp_w_lu4.x</t>
  </si>
  <si>
    <t>Test1/gpp_w_lu8.x</t>
  </si>
  <si>
    <t>Test1/icx.x</t>
  </si>
  <si>
    <t>Test1/icx_o3.x</t>
  </si>
  <si>
    <t>Test1/icx_w_lu2.x</t>
  </si>
  <si>
    <t>Test1/icx_w_lu2_o3.x</t>
  </si>
  <si>
    <t>Test1/icx_w_lu4.x</t>
  </si>
  <si>
    <t>Test1/icx_w_lu8.x</t>
  </si>
  <si>
    <t>Test2/gfortran.x</t>
  </si>
  <si>
    <t>Test2/gfortran_o3.x</t>
  </si>
  <si>
    <t>Test2/gfortran_w_lu2.x</t>
  </si>
  <si>
    <t>Test2/gfortran_w_lu2_o3.x</t>
  </si>
  <si>
    <t>Test2/gfortran_w_lu4.x</t>
  </si>
  <si>
    <t>Test2/gfortran_w_lu8.x</t>
  </si>
  <si>
    <t>Test2/ifx.x</t>
  </si>
  <si>
    <t>Test2/ifx_o3.x</t>
  </si>
  <si>
    <t>Test2/ifx_w_lu2.x</t>
  </si>
  <si>
    <t>Test2/ifx_w_lu2_o3.x</t>
  </si>
  <si>
    <t>Test2/ifx_w_lu4.x</t>
  </si>
  <si>
    <t>Test2/ifx_w_lu8.x</t>
  </si>
  <si>
    <t>Test2/gpp.x</t>
  </si>
  <si>
    <t>Test2/gpp_o3.x</t>
  </si>
  <si>
    <t>Test2/gpp_w_lu2.x</t>
  </si>
  <si>
    <t>Test2/gpp_w_lu2_o3.x</t>
  </si>
  <si>
    <t>Test2/gpp_w_lu4.x</t>
  </si>
  <si>
    <t>Test2/gpp_w_lu8.x</t>
  </si>
  <si>
    <t>Test2/icx.x</t>
  </si>
  <si>
    <t>Test2/icx_o3.x</t>
  </si>
  <si>
    <t>Test2/icx_w_lu2.x</t>
  </si>
  <si>
    <t>Test2/icx_w_lu2_o3.x</t>
  </si>
  <si>
    <t>Test2/icx_w_lu4.x</t>
  </si>
  <si>
    <t>Test2/icx_w_lu8.x</t>
  </si>
  <si>
    <t>Test3/gfortran.x</t>
  </si>
  <si>
    <t>Test3/gfortran_o3.x</t>
  </si>
  <si>
    <t>Test3/gfortran_w_lu2.x</t>
  </si>
  <si>
    <t>Test3/gfortran_w_lu2_o3.x</t>
  </si>
  <si>
    <t>Test3/gfortran_w_lu4.x</t>
  </si>
  <si>
    <t>Test3/gfortran_w_lu8.x</t>
  </si>
  <si>
    <t>Test3/ifx.x</t>
  </si>
  <si>
    <t>Test3/ifx_o3.x</t>
  </si>
  <si>
    <t>Test3/ifx_w_lu2.x</t>
  </si>
  <si>
    <t>Test3/ifx_w_lu2_o3.x</t>
  </si>
  <si>
    <t>Test3/ifx_w_lu4.x</t>
  </si>
  <si>
    <t>Test3/ifx_w_lu8.x</t>
  </si>
  <si>
    <t>Test3/gpp.x</t>
  </si>
  <si>
    <t>Test3/gpp_o3.x</t>
  </si>
  <si>
    <t>Test3/gpp_w_lu2.x</t>
  </si>
  <si>
    <t>Test3/gpp_w_lu2_o3.x</t>
  </si>
  <si>
    <t>Test3/gpp_w_lu4.x</t>
  </si>
  <si>
    <t>Test3/gpp_w_lu8.x</t>
  </si>
  <si>
    <t>Test3/icx.x</t>
  </si>
  <si>
    <t>Test3/icx_o3.x</t>
  </si>
  <si>
    <t>Test3/icx_w_lu2.x</t>
  </si>
  <si>
    <t>Test3/icx_w_lu2_o3.x</t>
  </si>
  <si>
    <t>Test3/icx_w_lu4.x</t>
  </si>
  <si>
    <t>Test3/icx_w_lu8.x</t>
  </si>
  <si>
    <t>Test4/gfortran.x</t>
  </si>
  <si>
    <t>Test4/gfortran_o3.x</t>
  </si>
  <si>
    <t>Test4/ifx.x</t>
  </si>
  <si>
    <t>Test4/ifx_o3.x</t>
  </si>
  <si>
    <t>Test4/gpp.x</t>
  </si>
  <si>
    <t>Test4/gpp_o3.x</t>
  </si>
  <si>
    <t>Test4/icx.x</t>
  </si>
  <si>
    <t>Test4/icx_o3.x</t>
  </si>
  <si>
    <t>Test5/gfortran.x</t>
  </si>
  <si>
    <t>Test5/gfortran_o3.x</t>
  </si>
  <si>
    <t>Test5/ifx.x</t>
  </si>
  <si>
    <t>Test5/ifx_o3.x</t>
  </si>
  <si>
    <t>Test5/gpp.x</t>
  </si>
  <si>
    <t>Test5/gpp_o3.x</t>
  </si>
  <si>
    <t>Test5/icx.x</t>
  </si>
  <si>
    <t>Test5/icx_o3.x</t>
  </si>
  <si>
    <t>Test6/gfortran.x</t>
  </si>
  <si>
    <t>Test6/gfortran_o3.x</t>
  </si>
  <si>
    <t>Test6/ifx.x</t>
  </si>
  <si>
    <t>Test6/ifx_o3.x</t>
  </si>
  <si>
    <t>Test6/gpp.x</t>
  </si>
  <si>
    <t>Test6/gpp_o3.x</t>
  </si>
  <si>
    <t>Test6/icx.x</t>
  </si>
  <si>
    <t>Test6/icx_o3.x</t>
  </si>
  <si>
    <t>Test7/gfortran.x</t>
  </si>
  <si>
    <t>Test7/gfortran_o3.x</t>
  </si>
  <si>
    <t>Test7/ifx.x</t>
  </si>
  <si>
    <t>Test7/ifx_o3.x</t>
  </si>
  <si>
    <t>Test7/gpp.x</t>
  </si>
  <si>
    <t>Test7/gpp_o3.x</t>
  </si>
  <si>
    <t>Test7/icx.x</t>
  </si>
  <si>
    <t>Test7/icx_o3.x</t>
  </si>
  <si>
    <t>Test8/gfortran.x</t>
  </si>
  <si>
    <t>Test8/gfortran_o3.x</t>
  </si>
  <si>
    <t>Test8/ifx.x</t>
  </si>
  <si>
    <t>Test8/ifx_o3.x</t>
  </si>
  <si>
    <t>Test8/gpp.x</t>
  </si>
  <si>
    <t>Test8/gpp_o3.x</t>
  </si>
  <si>
    <t>Test8/icx.x</t>
  </si>
  <si>
    <t>Test8/icx_o3.x</t>
  </si>
  <si>
    <t>AMD Ryzen 7 5800X</t>
  </si>
  <si>
    <t>AMD EPYC Turin</t>
  </si>
  <si>
    <t>Apple ARM M1 Max</t>
  </si>
  <si>
    <t>Test name</t>
  </si>
  <si>
    <t>Start row</t>
  </si>
  <si>
    <t>Column</t>
  </si>
  <si>
    <t>AMD Ryzen 7 5800X ASE</t>
  </si>
  <si>
    <t>AMD EPYC Turin ASE</t>
  </si>
  <si>
    <t>Apple ARM M1 Max ASE</t>
  </si>
  <si>
    <t>Intel Xeon Platinum ASE</t>
  </si>
  <si>
    <t xml:space="preserve">Intel Xeon Platinum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</si>
</sst>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0" tint="-0.249977111117893"/>
      <name val="Aptos Narrow"/>
      <family val="2"/>
      <scheme val="minor"/>
    </font>
    <font>
      <sz val="18"/>
      <color theme="7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2" fillId="3" borderId="0" xfId="0" applyFont="1" applyFill="1"/>
    <xf numFmtId="2" fontId="1" fillId="3" borderId="1" xfId="0" applyNumberFormat="1" applyFont="1" applyFill="1" applyBorder="1"/>
    <xf numFmtId="0" fontId="2" fillId="3" borderId="2" xfId="0" applyFont="1" applyFill="1" applyBorder="1" applyAlignment="1">
      <alignment horizontal="center"/>
    </xf>
    <xf numFmtId="2" fontId="1" fillId="3" borderId="3" xfId="0" applyNumberFormat="1" applyFont="1" applyFill="1" applyBorder="1"/>
    <xf numFmtId="0" fontId="2" fillId="3" borderId="4" xfId="0" applyFont="1" applyFill="1" applyBorder="1" applyAlignment="1">
      <alignment horizontal="center"/>
    </xf>
    <xf numFmtId="2" fontId="1" fillId="3" borderId="5" xfId="0" applyNumberFormat="1" applyFont="1" applyFill="1" applyBorder="1"/>
    <xf numFmtId="0" fontId="2" fillId="3" borderId="6" xfId="0" applyFont="1" applyFill="1" applyBorder="1" applyAlignment="1">
      <alignment horizontal="center"/>
    </xf>
    <xf numFmtId="2" fontId="1" fillId="3" borderId="7" xfId="0" applyNumberFormat="1" applyFont="1" applyFill="1" applyBorder="1"/>
    <xf numFmtId="0" fontId="2" fillId="3" borderId="8" xfId="0" applyFont="1" applyFill="1" applyBorder="1" applyAlignment="1">
      <alignment horizontal="center"/>
    </xf>
    <xf numFmtId="2" fontId="1" fillId="4" borderId="3" xfId="0" applyNumberFormat="1" applyFont="1" applyFill="1" applyBorder="1"/>
    <xf numFmtId="2" fontId="1" fillId="4" borderId="1" xfId="0" applyNumberFormat="1" applyFont="1" applyFill="1" applyBorder="1"/>
    <xf numFmtId="2" fontId="1" fillId="4" borderId="5" xfId="0" applyNumberFormat="1" applyFont="1" applyFill="1" applyBorder="1"/>
    <xf numFmtId="2" fontId="1" fillId="4" borderId="7" xfId="0" applyNumberFormat="1" applyFont="1" applyFill="1" applyBorder="1"/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center" vertical="top" wrapText="1"/>
    </xf>
    <xf numFmtId="0" fontId="1" fillId="3" borderId="14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 vertical="top" wrapText="1"/>
    </xf>
    <xf numFmtId="0" fontId="1" fillId="4" borderId="13" xfId="0" applyFont="1" applyFill="1" applyBorder="1" applyAlignment="1">
      <alignment horizontal="center" vertical="top" wrapText="1"/>
    </xf>
    <xf numFmtId="0" fontId="1" fillId="4" borderId="14" xfId="0" applyFont="1" applyFill="1" applyBorder="1" applyAlignment="1">
      <alignment horizontal="center" vertical="top" wrapText="1"/>
    </xf>
    <xf numFmtId="0" fontId="1" fillId="4" borderId="15" xfId="0" applyFont="1" applyFill="1" applyBorder="1" applyAlignment="1">
      <alignment horizontal="center" vertical="top" wrapText="1"/>
    </xf>
    <xf numFmtId="0" fontId="1" fillId="3" borderId="16" xfId="0" applyFont="1" applyFill="1" applyBorder="1"/>
    <xf numFmtId="2" fontId="1" fillId="3" borderId="17" xfId="0" applyNumberFormat="1" applyFont="1" applyFill="1" applyBorder="1"/>
    <xf numFmtId="0" fontId="2" fillId="3" borderId="18" xfId="0" applyFont="1" applyFill="1" applyBorder="1" applyAlignment="1">
      <alignment horizontal="center"/>
    </xf>
    <xf numFmtId="2" fontId="1" fillId="3" borderId="19" xfId="0" applyNumberFormat="1" applyFont="1" applyFill="1" applyBorder="1"/>
    <xf numFmtId="0" fontId="2" fillId="3" borderId="20" xfId="0" applyFont="1" applyFill="1" applyBorder="1" applyAlignment="1">
      <alignment horizontal="center"/>
    </xf>
    <xf numFmtId="2" fontId="1" fillId="4" borderId="17" xfId="0" applyNumberFormat="1" applyFont="1" applyFill="1" applyBorder="1"/>
    <xf numFmtId="0" fontId="3" fillId="4" borderId="18" xfId="0" applyFont="1" applyFill="1" applyBorder="1" applyAlignment="1">
      <alignment horizontal="center"/>
    </xf>
    <xf numFmtId="2" fontId="1" fillId="4" borderId="19" xfId="0" applyNumberFormat="1" applyFont="1" applyFill="1" applyBorder="1"/>
    <xf numFmtId="0" fontId="3" fillId="4" borderId="20" xfId="0" applyFont="1" applyFill="1" applyBorder="1" applyAlignment="1">
      <alignment horizontal="center"/>
    </xf>
    <xf numFmtId="0" fontId="1" fillId="3" borderId="9" xfId="0" applyFont="1" applyFill="1" applyBorder="1"/>
    <xf numFmtId="2" fontId="1" fillId="3" borderId="21" xfId="0" applyNumberFormat="1" applyFont="1" applyFill="1" applyBorder="1"/>
    <xf numFmtId="0" fontId="2" fillId="3" borderId="22" xfId="0" applyFont="1" applyFill="1" applyBorder="1" applyAlignment="1">
      <alignment horizontal="center"/>
    </xf>
    <xf numFmtId="2" fontId="1" fillId="3" borderId="23" xfId="0" applyNumberFormat="1" applyFont="1" applyFill="1" applyBorder="1"/>
    <xf numFmtId="0" fontId="2" fillId="3" borderId="24" xfId="0" applyFont="1" applyFill="1" applyBorder="1" applyAlignment="1">
      <alignment horizontal="center"/>
    </xf>
    <xf numFmtId="2" fontId="1" fillId="4" borderId="21" xfId="0" applyNumberFormat="1" applyFont="1" applyFill="1" applyBorder="1"/>
    <xf numFmtId="0" fontId="3" fillId="4" borderId="22" xfId="0" applyFont="1" applyFill="1" applyBorder="1" applyAlignment="1">
      <alignment horizontal="center"/>
    </xf>
    <xf numFmtId="2" fontId="1" fillId="4" borderId="23" xfId="0" applyNumberFormat="1" applyFont="1" applyFill="1" applyBorder="1"/>
    <xf numFmtId="0" fontId="3" fillId="4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3115-BBA8-0A4D-A33D-6075F805CA1D}">
  <dimension ref="A1:Y113"/>
  <sheetViews>
    <sheetView workbookViewId="0">
      <selection activeCell="A50" sqref="A50"/>
    </sheetView>
  </sheetViews>
  <sheetFormatPr baseColWidth="10" defaultRowHeight="16" x14ac:dyDescent="0.2"/>
  <cols>
    <col min="1" max="1" width="32.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>
        <v>7.1449999999999996</v>
      </c>
      <c r="C2">
        <v>0.20721999999999999</v>
      </c>
      <c r="D2">
        <v>3.2759999999999997E-2</v>
      </c>
      <c r="E2">
        <v>7.056</v>
      </c>
      <c r="F2">
        <v>0.21376000000000001</v>
      </c>
      <c r="G2">
        <v>3.3799999999999997E-2</v>
      </c>
      <c r="H2">
        <v>5.42</v>
      </c>
      <c r="I2">
        <v>4.7629999999999999E-2</v>
      </c>
      <c r="J2">
        <v>7.5300000000000002E-3</v>
      </c>
      <c r="K2">
        <v>5.4450000000000003</v>
      </c>
      <c r="L2">
        <v>3.9079999999999997E-2</v>
      </c>
      <c r="M2">
        <v>6.1799999999999997E-3</v>
      </c>
      <c r="N2">
        <v>11.936</v>
      </c>
      <c r="O2">
        <v>3.0882499999999999</v>
      </c>
      <c r="P2">
        <v>0.48830000000000001</v>
      </c>
      <c r="Q2">
        <v>11.651</v>
      </c>
      <c r="R2">
        <v>1.1587799999999999</v>
      </c>
      <c r="S2">
        <v>0.18321999999999999</v>
      </c>
      <c r="T2">
        <v>6.5570000000000004</v>
      </c>
      <c r="U2">
        <v>5.1920000000000001E-2</v>
      </c>
      <c r="V2">
        <v>8.2100000000000003E-3</v>
      </c>
      <c r="W2">
        <v>6.5750000000000002</v>
      </c>
      <c r="X2">
        <v>7.1590000000000001E-2</v>
      </c>
      <c r="Y2">
        <v>1.132E-2</v>
      </c>
    </row>
    <row r="3" spans="1:25" x14ac:dyDescent="0.2">
      <c r="A3" t="s">
        <v>26</v>
      </c>
      <c r="B3">
        <v>7.0529999999999999</v>
      </c>
      <c r="C3">
        <v>0.21493999999999999</v>
      </c>
      <c r="D3">
        <v>3.3980000000000003E-2</v>
      </c>
      <c r="E3">
        <v>6.98</v>
      </c>
      <c r="F3">
        <v>0.16059999999999999</v>
      </c>
      <c r="G3">
        <v>2.5389999999999999E-2</v>
      </c>
      <c r="H3">
        <v>5.42</v>
      </c>
      <c r="I3">
        <v>2.7099999999999999E-2</v>
      </c>
      <c r="J3">
        <v>4.28E-3</v>
      </c>
      <c r="K3">
        <v>5.4160000000000004</v>
      </c>
      <c r="L3">
        <v>3.1949999999999999E-2</v>
      </c>
      <c r="M3">
        <v>5.0499999999999998E-3</v>
      </c>
      <c r="N3">
        <v>12.206</v>
      </c>
      <c r="O3">
        <v>1.4396800000000001</v>
      </c>
      <c r="P3">
        <v>0.22763</v>
      </c>
      <c r="Q3">
        <v>12.534000000000001</v>
      </c>
      <c r="R3">
        <v>1.1180600000000001</v>
      </c>
      <c r="S3">
        <v>0.17677999999999999</v>
      </c>
      <c r="T3">
        <v>6.5469999999999997</v>
      </c>
      <c r="U3">
        <v>4.6769999999999999E-2</v>
      </c>
      <c r="V3">
        <v>7.4000000000000003E-3</v>
      </c>
      <c r="W3">
        <v>6.5659999999999998</v>
      </c>
      <c r="X3">
        <v>0.15226000000000001</v>
      </c>
      <c r="Y3">
        <v>2.4070000000000001E-2</v>
      </c>
    </row>
    <row r="4" spans="1:25" x14ac:dyDescent="0.2">
      <c r="A4" t="s">
        <v>27</v>
      </c>
      <c r="B4">
        <v>7.1829999999999998</v>
      </c>
      <c r="C4">
        <v>0.18217</v>
      </c>
      <c r="D4">
        <v>2.8799999999999999E-2</v>
      </c>
      <c r="E4">
        <v>7.0170000000000003</v>
      </c>
      <c r="F4">
        <v>0.15129000000000001</v>
      </c>
      <c r="G4">
        <v>2.392E-2</v>
      </c>
      <c r="H4">
        <v>5.423</v>
      </c>
      <c r="I4">
        <v>3.7949999999999998E-2</v>
      </c>
      <c r="J4">
        <v>6.0000000000000001E-3</v>
      </c>
      <c r="K4">
        <v>5.415</v>
      </c>
      <c r="L4">
        <v>3.2239999999999998E-2</v>
      </c>
      <c r="M4">
        <v>5.1000000000000004E-3</v>
      </c>
      <c r="N4">
        <v>11.587999999999999</v>
      </c>
      <c r="O4">
        <v>1.13829</v>
      </c>
      <c r="P4">
        <v>0.17998</v>
      </c>
      <c r="Q4">
        <v>13.208</v>
      </c>
      <c r="R4">
        <v>7.5803799999999999</v>
      </c>
      <c r="S4">
        <v>1.1985600000000001</v>
      </c>
      <c r="T4">
        <v>6.5259999999999998</v>
      </c>
      <c r="U4">
        <v>5.4820000000000001E-2</v>
      </c>
      <c r="V4">
        <v>8.6700000000000006E-3</v>
      </c>
      <c r="W4">
        <v>6.56</v>
      </c>
      <c r="X4">
        <v>0.11096</v>
      </c>
      <c r="Y4">
        <v>1.754E-2</v>
      </c>
    </row>
    <row r="5" spans="1:25" x14ac:dyDescent="0.2">
      <c r="A5" t="s">
        <v>28</v>
      </c>
      <c r="B5">
        <v>7.2519999999999998</v>
      </c>
      <c r="C5">
        <v>0.21529000000000001</v>
      </c>
      <c r="D5">
        <v>3.4040000000000001E-2</v>
      </c>
      <c r="E5">
        <v>7.02</v>
      </c>
      <c r="F5">
        <v>0.26996999999999999</v>
      </c>
      <c r="G5">
        <v>4.2689999999999999E-2</v>
      </c>
      <c r="H5">
        <v>5.4009999999999998</v>
      </c>
      <c r="I5">
        <v>2.3259999999999999E-2</v>
      </c>
      <c r="J5">
        <v>3.6800000000000001E-3</v>
      </c>
      <c r="K5">
        <v>5.4359999999999999</v>
      </c>
      <c r="L5">
        <v>3.8510000000000003E-2</v>
      </c>
      <c r="M5">
        <v>6.0899999999999999E-3</v>
      </c>
      <c r="N5">
        <v>11.933999999999999</v>
      </c>
      <c r="O5">
        <v>0.79545999999999994</v>
      </c>
      <c r="P5">
        <v>0.12576999999999999</v>
      </c>
      <c r="Q5">
        <v>12.683</v>
      </c>
      <c r="R5">
        <v>4.9643100000000002</v>
      </c>
      <c r="S5">
        <v>0.78493000000000002</v>
      </c>
      <c r="T5">
        <v>6.5419999999999998</v>
      </c>
      <c r="U5">
        <v>3.4430000000000002E-2</v>
      </c>
      <c r="V5">
        <v>5.4400000000000004E-3</v>
      </c>
      <c r="W5">
        <v>6.5549999999999997</v>
      </c>
      <c r="X5">
        <v>9.1600000000000001E-2</v>
      </c>
      <c r="Y5">
        <v>1.448E-2</v>
      </c>
    </row>
    <row r="6" spans="1:25" x14ac:dyDescent="0.2">
      <c r="A6" t="s">
        <v>29</v>
      </c>
      <c r="B6">
        <v>7.0640000000000001</v>
      </c>
      <c r="C6">
        <v>0.20452999999999999</v>
      </c>
      <c r="D6">
        <v>3.2340000000000001E-2</v>
      </c>
      <c r="E6">
        <v>6.9560000000000004</v>
      </c>
      <c r="F6">
        <v>0.18159</v>
      </c>
      <c r="G6">
        <v>2.8709999999999999E-2</v>
      </c>
      <c r="H6">
        <v>5.4240000000000004</v>
      </c>
      <c r="I6">
        <v>3.4959999999999998E-2</v>
      </c>
      <c r="J6">
        <v>5.5300000000000002E-3</v>
      </c>
      <c r="K6">
        <v>5.444</v>
      </c>
      <c r="L6">
        <v>3.9100000000000003E-2</v>
      </c>
      <c r="M6">
        <v>6.1799999999999997E-3</v>
      </c>
      <c r="N6">
        <v>12.132999999999999</v>
      </c>
      <c r="O6">
        <v>1.18492</v>
      </c>
      <c r="P6">
        <v>0.18734999999999999</v>
      </c>
      <c r="Q6">
        <v>12.956</v>
      </c>
      <c r="R6">
        <v>4.3250799999999998</v>
      </c>
      <c r="S6">
        <v>0.68386000000000002</v>
      </c>
      <c r="T6">
        <v>6.5309999999999997</v>
      </c>
      <c r="U6">
        <v>4.5510000000000002E-2</v>
      </c>
      <c r="V6">
        <v>7.1999999999999998E-3</v>
      </c>
      <c r="W6">
        <v>6.5720000000000001</v>
      </c>
      <c r="X6">
        <v>7.4620000000000006E-2</v>
      </c>
      <c r="Y6">
        <v>1.18E-2</v>
      </c>
    </row>
    <row r="7" spans="1:25" x14ac:dyDescent="0.2">
      <c r="A7" t="s">
        <v>30</v>
      </c>
      <c r="B7">
        <v>6.984</v>
      </c>
      <c r="C7">
        <v>0.20938000000000001</v>
      </c>
      <c r="D7">
        <v>3.3110000000000001E-2</v>
      </c>
      <c r="E7">
        <v>7.0019999999999998</v>
      </c>
      <c r="F7">
        <v>0.20744000000000001</v>
      </c>
      <c r="G7">
        <v>3.2800000000000003E-2</v>
      </c>
      <c r="H7">
        <v>5.4349999999999996</v>
      </c>
      <c r="I7">
        <v>3.1620000000000002E-2</v>
      </c>
      <c r="J7">
        <v>5.0000000000000001E-3</v>
      </c>
      <c r="K7">
        <v>5.4119999999999999</v>
      </c>
      <c r="L7">
        <v>3.397E-2</v>
      </c>
      <c r="M7">
        <v>5.3699999999999998E-3</v>
      </c>
      <c r="N7">
        <v>12.467000000000001</v>
      </c>
      <c r="O7">
        <v>1.32107</v>
      </c>
      <c r="P7">
        <v>0.20888000000000001</v>
      </c>
      <c r="Q7">
        <v>12.302</v>
      </c>
      <c r="R7">
        <v>1.8049299999999999</v>
      </c>
      <c r="S7">
        <v>0.28538000000000002</v>
      </c>
      <c r="T7">
        <v>6.5119999999999996</v>
      </c>
      <c r="U7">
        <v>5.3920000000000003E-2</v>
      </c>
      <c r="V7">
        <v>8.5299999999999994E-3</v>
      </c>
      <c r="W7">
        <v>6.5620000000000003</v>
      </c>
      <c r="X7">
        <v>0.10147</v>
      </c>
      <c r="Y7">
        <v>1.6039999999999999E-2</v>
      </c>
    </row>
    <row r="8" spans="1:25" x14ac:dyDescent="0.2">
      <c r="A8" t="s">
        <v>31</v>
      </c>
      <c r="B8">
        <v>6.8</v>
      </c>
      <c r="C8">
        <v>0.56386999999999998</v>
      </c>
      <c r="D8">
        <v>8.9160000000000003E-2</v>
      </c>
      <c r="E8">
        <v>4.2</v>
      </c>
      <c r="F8">
        <v>0.68686999999999998</v>
      </c>
      <c r="G8">
        <v>0.1086</v>
      </c>
      <c r="H8">
        <v>5.4020000000000001</v>
      </c>
      <c r="I8">
        <v>2.1059999999999999E-2</v>
      </c>
      <c r="J8">
        <v>3.3300000000000001E-3</v>
      </c>
      <c r="K8">
        <v>1.92</v>
      </c>
      <c r="L8">
        <v>0.12509999999999999</v>
      </c>
      <c r="M8">
        <v>1.9779999999999999E-2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6.5439999999999996</v>
      </c>
      <c r="U8">
        <v>6.3549999999999995E-2</v>
      </c>
      <c r="V8">
        <v>1.005E-2</v>
      </c>
      <c r="W8">
        <v>4.6420000000000003</v>
      </c>
      <c r="X8">
        <v>7.2840000000000002E-2</v>
      </c>
      <c r="Y8">
        <v>1.1520000000000001E-2</v>
      </c>
    </row>
    <row r="9" spans="1:25" x14ac:dyDescent="0.2">
      <c r="A9" t="s">
        <v>32</v>
      </c>
      <c r="B9">
        <v>7.0250000000000004</v>
      </c>
      <c r="C9">
        <v>0.94699</v>
      </c>
      <c r="D9">
        <v>0.14973</v>
      </c>
      <c r="E9">
        <v>4.0250000000000004</v>
      </c>
      <c r="F9">
        <v>1.31046</v>
      </c>
      <c r="G9">
        <v>0.2072</v>
      </c>
      <c r="H9">
        <v>5.4240000000000004</v>
      </c>
      <c r="I9">
        <v>2.775E-2</v>
      </c>
      <c r="J9">
        <v>4.3899999999999998E-3</v>
      </c>
      <c r="K9">
        <v>1.9750000000000001</v>
      </c>
      <c r="L9">
        <v>0.10859000000000001</v>
      </c>
      <c r="M9">
        <v>1.7170000000000001E-2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6.5739999999999998</v>
      </c>
      <c r="U9">
        <v>5.8529999999999999E-2</v>
      </c>
      <c r="V9">
        <v>9.2499999999999995E-3</v>
      </c>
      <c r="W9">
        <v>4.6520000000000001</v>
      </c>
      <c r="X9">
        <v>7.2370000000000004E-2</v>
      </c>
      <c r="Y9">
        <v>1.1440000000000001E-2</v>
      </c>
    </row>
    <row r="10" spans="1:25" x14ac:dyDescent="0.2">
      <c r="A10" t="s">
        <v>33</v>
      </c>
      <c r="B10">
        <v>7.0250000000000004</v>
      </c>
      <c r="C10">
        <v>1.18727</v>
      </c>
      <c r="D10">
        <v>0.18772</v>
      </c>
      <c r="E10">
        <v>4.3250000000000002</v>
      </c>
      <c r="F10">
        <v>0.72985999999999995</v>
      </c>
      <c r="G10">
        <v>0.1154</v>
      </c>
      <c r="H10">
        <v>5.4059999999999997</v>
      </c>
      <c r="I10">
        <v>2.4400000000000002E-2</v>
      </c>
      <c r="J10">
        <v>3.8600000000000001E-3</v>
      </c>
      <c r="K10">
        <v>1.9710000000000001</v>
      </c>
      <c r="L10">
        <v>0.11260000000000001</v>
      </c>
      <c r="M10">
        <v>1.78E-2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6.5430000000000001</v>
      </c>
      <c r="U10">
        <v>5.4030000000000002E-2</v>
      </c>
      <c r="V10">
        <v>8.5400000000000007E-3</v>
      </c>
      <c r="W10">
        <v>4.641</v>
      </c>
      <c r="X10">
        <v>8.8020000000000001E-2</v>
      </c>
      <c r="Y10">
        <v>1.392E-2</v>
      </c>
    </row>
    <row r="11" spans="1:25" x14ac:dyDescent="0.2">
      <c r="A11" t="s">
        <v>34</v>
      </c>
      <c r="B11">
        <v>7.1749999999999998</v>
      </c>
      <c r="C11">
        <v>1.05945</v>
      </c>
      <c r="D11">
        <v>0.16750999999999999</v>
      </c>
      <c r="E11">
        <v>4.2249999999999996</v>
      </c>
      <c r="F11">
        <v>0.61965999999999999</v>
      </c>
      <c r="G11">
        <v>9.7979999999999998E-2</v>
      </c>
      <c r="H11">
        <v>5.4119999999999999</v>
      </c>
      <c r="I11">
        <v>3.0210000000000001E-2</v>
      </c>
      <c r="J11">
        <v>4.7800000000000004E-3</v>
      </c>
      <c r="K11">
        <v>2.0150000000000001</v>
      </c>
      <c r="L11">
        <v>0.12278</v>
      </c>
      <c r="M11">
        <v>1.941E-2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6.5129999999999999</v>
      </c>
      <c r="U11">
        <v>5.7619999999999998E-2</v>
      </c>
      <c r="V11">
        <v>9.11E-3</v>
      </c>
      <c r="W11">
        <v>4.6310000000000002</v>
      </c>
      <c r="X11">
        <v>9.1060000000000002E-2</v>
      </c>
      <c r="Y11">
        <v>1.44E-2</v>
      </c>
    </row>
    <row r="12" spans="1:25" x14ac:dyDescent="0.2">
      <c r="A12" t="s">
        <v>35</v>
      </c>
      <c r="B12">
        <v>6.95</v>
      </c>
      <c r="C12">
        <v>0.78283000000000003</v>
      </c>
      <c r="D12">
        <v>0.12378</v>
      </c>
      <c r="E12">
        <v>3.9750000000000001</v>
      </c>
      <c r="F12">
        <v>0.73336000000000001</v>
      </c>
      <c r="G12">
        <v>0.11595</v>
      </c>
      <c r="H12">
        <v>5.3949999999999996</v>
      </c>
      <c r="I12">
        <v>1.4999999999999999E-2</v>
      </c>
      <c r="J12">
        <v>2.3700000000000001E-3</v>
      </c>
      <c r="K12">
        <v>1.9550000000000001</v>
      </c>
      <c r="L12">
        <v>0.12817000000000001</v>
      </c>
      <c r="M12">
        <v>2.027E-2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6.5209999999999999</v>
      </c>
      <c r="U12">
        <v>6.0130000000000003E-2</v>
      </c>
      <c r="V12">
        <v>9.5099999999999994E-3</v>
      </c>
      <c r="W12">
        <v>4.6189999999999998</v>
      </c>
      <c r="X12">
        <v>5.2839999999999998E-2</v>
      </c>
      <c r="Y12">
        <v>8.3499999999999998E-3</v>
      </c>
    </row>
    <row r="13" spans="1:25" x14ac:dyDescent="0.2">
      <c r="A13" t="s">
        <v>36</v>
      </c>
      <c r="B13">
        <v>6.9249999999999998</v>
      </c>
      <c r="C13">
        <v>0.57233000000000001</v>
      </c>
      <c r="D13">
        <v>9.0490000000000001E-2</v>
      </c>
      <c r="E13">
        <v>4.2750000000000004</v>
      </c>
      <c r="F13">
        <v>0.96043999999999996</v>
      </c>
      <c r="G13">
        <v>0.15185999999999999</v>
      </c>
      <c r="H13">
        <v>5.4109999999999996</v>
      </c>
      <c r="I13">
        <v>3.2649999999999998E-2</v>
      </c>
      <c r="J13">
        <v>5.1599999999999997E-3</v>
      </c>
      <c r="K13">
        <v>1.899</v>
      </c>
      <c r="L13">
        <v>9.6310000000000007E-2</v>
      </c>
      <c r="M13">
        <v>1.523E-2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6.5259999999999998</v>
      </c>
      <c r="U13">
        <v>6.0609999999999997E-2</v>
      </c>
      <c r="V13">
        <v>9.58E-3</v>
      </c>
      <c r="W13">
        <v>4.6180000000000003</v>
      </c>
      <c r="X13">
        <v>7.0720000000000005E-2</v>
      </c>
      <c r="Y13">
        <v>1.1180000000000001E-2</v>
      </c>
    </row>
    <row r="14" spans="1:25" x14ac:dyDescent="0.2">
      <c r="A14" t="s">
        <v>37</v>
      </c>
      <c r="B14">
        <v>7.06</v>
      </c>
      <c r="C14">
        <v>0.18579000000000001</v>
      </c>
      <c r="D14">
        <v>2.938E-2</v>
      </c>
      <c r="E14">
        <v>7.2329999999999997</v>
      </c>
      <c r="F14">
        <v>0.20508999999999999</v>
      </c>
      <c r="G14">
        <v>3.243E-2</v>
      </c>
      <c r="H14">
        <v>32.329000000000001</v>
      </c>
      <c r="I14">
        <v>8.2500000000000004E-2</v>
      </c>
      <c r="J14">
        <v>1.304E-2</v>
      </c>
      <c r="K14">
        <v>26.992000000000001</v>
      </c>
      <c r="L14">
        <v>0.12894</v>
      </c>
      <c r="M14">
        <v>2.0389999999999998E-2</v>
      </c>
      <c r="N14">
        <v>12.544</v>
      </c>
      <c r="O14">
        <v>1.31742</v>
      </c>
      <c r="P14">
        <v>0.20830000000000001</v>
      </c>
      <c r="Q14">
        <v>12.734999999999999</v>
      </c>
      <c r="R14">
        <v>1.4758</v>
      </c>
      <c r="S14">
        <v>0.23333999999999999</v>
      </c>
      <c r="T14">
        <v>18.759</v>
      </c>
      <c r="U14">
        <v>8.5050000000000001E-2</v>
      </c>
      <c r="V14">
        <v>1.345E-2</v>
      </c>
      <c r="W14">
        <v>18.765000000000001</v>
      </c>
      <c r="X14">
        <v>7.7530000000000002E-2</v>
      </c>
      <c r="Y14">
        <v>1.226E-2</v>
      </c>
    </row>
    <row r="15" spans="1:25" x14ac:dyDescent="0.2">
      <c r="A15" t="s">
        <v>38</v>
      </c>
      <c r="B15">
        <v>7.1559999999999997</v>
      </c>
      <c r="C15">
        <v>0.27629999999999999</v>
      </c>
      <c r="D15">
        <v>4.369E-2</v>
      </c>
      <c r="E15">
        <v>7.093</v>
      </c>
      <c r="F15">
        <v>0.27194000000000002</v>
      </c>
      <c r="G15">
        <v>4.2999999999999997E-2</v>
      </c>
      <c r="H15">
        <v>18.843</v>
      </c>
      <c r="I15">
        <v>4.956E-2</v>
      </c>
      <c r="J15">
        <v>7.8399999999999997E-3</v>
      </c>
      <c r="K15">
        <v>8.0920000000000005</v>
      </c>
      <c r="L15">
        <v>3.7769999999999998E-2</v>
      </c>
      <c r="M15">
        <v>5.9699999999999996E-3</v>
      </c>
      <c r="N15">
        <v>12.518000000000001</v>
      </c>
      <c r="O15">
        <v>1.4030199999999999</v>
      </c>
      <c r="P15">
        <v>0.22184000000000001</v>
      </c>
      <c r="Q15">
        <v>11.769</v>
      </c>
      <c r="R15">
        <v>1.62758</v>
      </c>
      <c r="S15">
        <v>0.25734000000000001</v>
      </c>
      <c r="T15">
        <v>12.528</v>
      </c>
      <c r="U15">
        <v>7.1830000000000005E-2</v>
      </c>
      <c r="V15">
        <v>1.136E-2</v>
      </c>
      <c r="W15">
        <v>9.6219999999999999</v>
      </c>
      <c r="X15">
        <v>9.0749999999999997E-2</v>
      </c>
      <c r="Y15">
        <v>1.435E-2</v>
      </c>
    </row>
    <row r="16" spans="1:25" x14ac:dyDescent="0.2">
      <c r="A16" t="s">
        <v>39</v>
      </c>
      <c r="B16">
        <v>5.0640000000000001</v>
      </c>
      <c r="C16">
        <v>0.28123999999999999</v>
      </c>
      <c r="D16">
        <v>4.4470000000000003E-2</v>
      </c>
      <c r="E16">
        <v>5.1130000000000004</v>
      </c>
      <c r="F16">
        <v>0.28442000000000001</v>
      </c>
      <c r="G16">
        <v>4.4970000000000003E-2</v>
      </c>
      <c r="H16">
        <v>2.7879999999999998</v>
      </c>
      <c r="I16">
        <v>7.8289999999999998E-2</v>
      </c>
      <c r="J16">
        <v>1.238E-2</v>
      </c>
      <c r="K16">
        <v>2.76</v>
      </c>
      <c r="L16">
        <v>6.2190000000000002E-2</v>
      </c>
      <c r="M16">
        <v>9.8300000000000002E-3</v>
      </c>
      <c r="N16">
        <v>5.92</v>
      </c>
      <c r="O16">
        <v>0.99239999999999995</v>
      </c>
      <c r="P16">
        <v>0.15690999999999999</v>
      </c>
      <c r="Q16">
        <v>6.9770000000000003</v>
      </c>
      <c r="R16">
        <v>0.96989000000000003</v>
      </c>
      <c r="S16">
        <v>0.15334999999999999</v>
      </c>
      <c r="T16">
        <v>6.0579999999999998</v>
      </c>
      <c r="U16">
        <v>0.18776000000000001</v>
      </c>
      <c r="V16">
        <v>2.9690000000000001E-2</v>
      </c>
      <c r="W16">
        <v>6.0069999999999997</v>
      </c>
      <c r="X16">
        <v>0.1091</v>
      </c>
      <c r="Y16">
        <v>1.7250000000000001E-2</v>
      </c>
    </row>
    <row r="17" spans="1:25" x14ac:dyDescent="0.2">
      <c r="A17" t="s">
        <v>40</v>
      </c>
      <c r="B17">
        <v>5.048</v>
      </c>
      <c r="C17">
        <v>0.28526000000000001</v>
      </c>
      <c r="D17">
        <v>4.5100000000000001E-2</v>
      </c>
      <c r="E17">
        <v>5.2960000000000003</v>
      </c>
      <c r="F17">
        <v>0.32222000000000001</v>
      </c>
      <c r="G17">
        <v>5.0950000000000002E-2</v>
      </c>
      <c r="H17">
        <v>2.786</v>
      </c>
      <c r="I17">
        <v>7.1470000000000006E-2</v>
      </c>
      <c r="J17">
        <v>1.1299999999999999E-2</v>
      </c>
      <c r="K17">
        <v>2.7890000000000001</v>
      </c>
      <c r="L17">
        <v>6.8059999999999996E-2</v>
      </c>
      <c r="M17">
        <v>1.076E-2</v>
      </c>
      <c r="N17">
        <v>6.601</v>
      </c>
      <c r="O17">
        <v>0.72885</v>
      </c>
      <c r="P17">
        <v>0.11524</v>
      </c>
      <c r="Q17">
        <v>6.7919999999999998</v>
      </c>
      <c r="R17">
        <v>0.54376999999999998</v>
      </c>
      <c r="S17">
        <v>8.5980000000000001E-2</v>
      </c>
      <c r="T17">
        <v>6.1310000000000002</v>
      </c>
      <c r="U17">
        <v>0.23527000000000001</v>
      </c>
      <c r="V17">
        <v>3.7199999999999997E-2</v>
      </c>
      <c r="W17">
        <v>6.01</v>
      </c>
      <c r="X17">
        <v>0.13231999999999999</v>
      </c>
      <c r="Y17">
        <v>2.0920000000000001E-2</v>
      </c>
    </row>
    <row r="18" spans="1:25" x14ac:dyDescent="0.2">
      <c r="A18" t="s">
        <v>41</v>
      </c>
      <c r="B18">
        <v>4.9530000000000003</v>
      </c>
      <c r="C18">
        <v>0.38882</v>
      </c>
      <c r="D18">
        <v>6.148E-2</v>
      </c>
      <c r="E18">
        <v>4.952</v>
      </c>
      <c r="F18">
        <v>0.29730000000000001</v>
      </c>
      <c r="G18">
        <v>4.7010000000000003E-2</v>
      </c>
      <c r="H18">
        <v>2.0190000000000001</v>
      </c>
      <c r="I18">
        <v>0.11355999999999999</v>
      </c>
      <c r="J18">
        <v>1.7950000000000001E-2</v>
      </c>
      <c r="K18">
        <v>1.992</v>
      </c>
      <c r="L18">
        <v>8.2250000000000004E-2</v>
      </c>
      <c r="M18">
        <v>1.3010000000000001E-2</v>
      </c>
      <c r="N18">
        <v>4.0659999999999998</v>
      </c>
      <c r="O18">
        <v>0.61924000000000001</v>
      </c>
      <c r="P18">
        <v>9.7909999999999997E-2</v>
      </c>
      <c r="Q18">
        <v>4.3710000000000004</v>
      </c>
      <c r="R18">
        <v>1.45139</v>
      </c>
      <c r="S18">
        <v>0.22949</v>
      </c>
      <c r="T18">
        <v>5.7750000000000004</v>
      </c>
      <c r="U18">
        <v>0.24987000000000001</v>
      </c>
      <c r="V18">
        <v>3.9510000000000003E-2</v>
      </c>
      <c r="W18">
        <v>5.6639999999999997</v>
      </c>
      <c r="X18">
        <v>0.11791</v>
      </c>
      <c r="Y18">
        <v>1.864E-2</v>
      </c>
    </row>
    <row r="19" spans="1:25" x14ac:dyDescent="0.2">
      <c r="A19" t="s">
        <v>42</v>
      </c>
      <c r="B19">
        <v>4.8540000000000001</v>
      </c>
      <c r="C19">
        <v>0.34004000000000001</v>
      </c>
      <c r="D19">
        <v>5.3760000000000002E-2</v>
      </c>
      <c r="E19">
        <v>4.9770000000000003</v>
      </c>
      <c r="F19">
        <v>0.38355</v>
      </c>
      <c r="G19">
        <v>6.0650000000000003E-2</v>
      </c>
      <c r="H19">
        <v>1.9610000000000001</v>
      </c>
      <c r="I19">
        <v>0.11260000000000001</v>
      </c>
      <c r="J19">
        <v>1.78E-2</v>
      </c>
      <c r="K19">
        <v>1.956</v>
      </c>
      <c r="L19">
        <v>8.4129999999999996E-2</v>
      </c>
      <c r="M19">
        <v>1.3299999999999999E-2</v>
      </c>
      <c r="N19">
        <v>3.1619999999999999</v>
      </c>
      <c r="O19">
        <v>0.66591</v>
      </c>
      <c r="P19">
        <v>0.10528999999999999</v>
      </c>
      <c r="Q19">
        <v>3.7970000000000002</v>
      </c>
      <c r="R19">
        <v>2.8508399999999998</v>
      </c>
      <c r="S19">
        <v>0.45075999999999999</v>
      </c>
      <c r="T19">
        <v>5.75</v>
      </c>
      <c r="U19">
        <v>0.25095000000000001</v>
      </c>
      <c r="V19">
        <v>3.968E-2</v>
      </c>
      <c r="W19">
        <v>5.6139999999999999</v>
      </c>
      <c r="X19">
        <v>0.10647</v>
      </c>
      <c r="Y19">
        <v>1.6830000000000001E-2</v>
      </c>
    </row>
    <row r="20" spans="1:25" x14ac:dyDescent="0.2">
      <c r="A20" t="s">
        <v>43</v>
      </c>
      <c r="B20">
        <v>4.6360000000000001</v>
      </c>
      <c r="C20">
        <v>0.32471</v>
      </c>
      <c r="D20">
        <v>5.1339999999999997E-2</v>
      </c>
      <c r="E20">
        <v>4.16</v>
      </c>
      <c r="F20">
        <v>0.23222000000000001</v>
      </c>
      <c r="G20">
        <v>3.6720000000000003E-2</v>
      </c>
      <c r="H20">
        <v>1.8939999999999999</v>
      </c>
      <c r="I20">
        <v>0.15171000000000001</v>
      </c>
      <c r="J20">
        <v>2.3990000000000001E-2</v>
      </c>
      <c r="K20">
        <v>1.893</v>
      </c>
      <c r="L20">
        <v>0.14892</v>
      </c>
      <c r="M20">
        <v>2.3550000000000001E-2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5.47</v>
      </c>
      <c r="U20">
        <v>0.22817000000000001</v>
      </c>
      <c r="V20">
        <v>3.6080000000000001E-2</v>
      </c>
      <c r="W20">
        <v>4.6909999999999998</v>
      </c>
      <c r="X20">
        <v>7.6410000000000006E-2</v>
      </c>
      <c r="Y20">
        <v>1.208E-2</v>
      </c>
    </row>
    <row r="21" spans="1:25" x14ac:dyDescent="0.2">
      <c r="A21" t="s">
        <v>44</v>
      </c>
      <c r="B21">
        <v>4.5919999999999996</v>
      </c>
      <c r="C21">
        <v>0.39755000000000001</v>
      </c>
      <c r="D21">
        <v>6.2859999999999999E-2</v>
      </c>
      <c r="E21">
        <v>4.21</v>
      </c>
      <c r="F21">
        <v>0.35792000000000002</v>
      </c>
      <c r="G21">
        <v>5.6590000000000001E-2</v>
      </c>
      <c r="H21">
        <v>1.9279999999999999</v>
      </c>
      <c r="I21">
        <v>0.12055</v>
      </c>
      <c r="J21">
        <v>1.9060000000000001E-2</v>
      </c>
      <c r="K21">
        <v>1.86</v>
      </c>
      <c r="L21">
        <v>0.12421</v>
      </c>
      <c r="M21">
        <v>1.9640000000000001E-2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5.3570000000000002</v>
      </c>
      <c r="U21">
        <v>0.19733000000000001</v>
      </c>
      <c r="V21">
        <v>3.1199999999999999E-2</v>
      </c>
      <c r="W21">
        <v>4.6849999999999996</v>
      </c>
      <c r="X21">
        <v>7.8820000000000001E-2</v>
      </c>
      <c r="Y21">
        <v>1.2460000000000001E-2</v>
      </c>
    </row>
    <row r="22" spans="1:25" x14ac:dyDescent="0.2">
      <c r="A22" t="s">
        <v>45</v>
      </c>
      <c r="B22">
        <v>4.6109999999999998</v>
      </c>
      <c r="C22">
        <v>0.3533</v>
      </c>
      <c r="D22">
        <v>5.586E-2</v>
      </c>
      <c r="E22">
        <v>4.18</v>
      </c>
      <c r="F22">
        <v>0.30679000000000001</v>
      </c>
      <c r="G22">
        <v>4.8509999999999998E-2</v>
      </c>
      <c r="H22">
        <v>1.915</v>
      </c>
      <c r="I22">
        <v>0.11058999999999999</v>
      </c>
      <c r="J22">
        <v>1.7489999999999999E-2</v>
      </c>
      <c r="K22">
        <v>1.7829999999999999</v>
      </c>
      <c r="L22">
        <v>0.11486</v>
      </c>
      <c r="M22">
        <v>1.8159999999999999E-2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5.4279999999999999</v>
      </c>
      <c r="U22">
        <v>0.19783000000000001</v>
      </c>
      <c r="V22">
        <v>3.1280000000000002E-2</v>
      </c>
      <c r="W22">
        <v>4.6529999999999996</v>
      </c>
      <c r="X22">
        <v>6.3570000000000002E-2</v>
      </c>
      <c r="Y22">
        <v>1.005E-2</v>
      </c>
    </row>
    <row r="23" spans="1:25" x14ac:dyDescent="0.2">
      <c r="A23" t="s">
        <v>46</v>
      </c>
      <c r="B23">
        <v>4.5549999999999997</v>
      </c>
      <c r="C23">
        <v>0.29669000000000001</v>
      </c>
      <c r="D23">
        <v>4.691E-2</v>
      </c>
      <c r="E23">
        <v>4.1639999999999997</v>
      </c>
      <c r="F23">
        <v>0.25612000000000001</v>
      </c>
      <c r="G23">
        <v>4.0500000000000001E-2</v>
      </c>
      <c r="H23">
        <v>1.875</v>
      </c>
      <c r="I23">
        <v>0.13599</v>
      </c>
      <c r="J23">
        <v>2.1499999999999998E-2</v>
      </c>
      <c r="K23">
        <v>1.897</v>
      </c>
      <c r="L23">
        <v>0.13452</v>
      </c>
      <c r="M23">
        <v>2.1270000000000001E-2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5.266</v>
      </c>
      <c r="U23">
        <v>0.11989</v>
      </c>
      <c r="V23">
        <v>1.8960000000000001E-2</v>
      </c>
      <c r="W23">
        <v>4.6680000000000001</v>
      </c>
      <c r="X23">
        <v>7.3669999999999999E-2</v>
      </c>
      <c r="Y23">
        <v>1.1650000000000001E-2</v>
      </c>
    </row>
    <row r="24" spans="1:25" x14ac:dyDescent="0.2">
      <c r="A24" t="s">
        <v>47</v>
      </c>
      <c r="B24">
        <v>4.6449999999999996</v>
      </c>
      <c r="C24">
        <v>0.30696000000000001</v>
      </c>
      <c r="D24">
        <v>4.8529999999999997E-2</v>
      </c>
      <c r="E24">
        <v>4.1269999999999998</v>
      </c>
      <c r="F24">
        <v>0.29036000000000001</v>
      </c>
      <c r="G24">
        <v>4.5909999999999999E-2</v>
      </c>
      <c r="H24">
        <v>1.891</v>
      </c>
      <c r="I24">
        <v>0.12038</v>
      </c>
      <c r="J24">
        <v>1.9029999999999998E-2</v>
      </c>
      <c r="K24">
        <v>1.962</v>
      </c>
      <c r="L24">
        <v>0.17338000000000001</v>
      </c>
      <c r="M24">
        <v>2.741E-2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5.2469999999999999</v>
      </c>
      <c r="U24">
        <v>0.10377</v>
      </c>
      <c r="V24">
        <v>1.6410000000000001E-2</v>
      </c>
      <c r="W24">
        <v>4.6539999999999999</v>
      </c>
      <c r="X24">
        <v>9.5030000000000003E-2</v>
      </c>
      <c r="Y24">
        <v>1.503E-2</v>
      </c>
    </row>
    <row r="25" spans="1:25" x14ac:dyDescent="0.2">
      <c r="A25" t="s">
        <v>48</v>
      </c>
      <c r="B25">
        <v>4.5510000000000002</v>
      </c>
      <c r="C25">
        <v>0.20905000000000001</v>
      </c>
      <c r="D25">
        <v>3.3050000000000003E-2</v>
      </c>
      <c r="E25">
        <v>4.1589999999999998</v>
      </c>
      <c r="F25">
        <v>0.29116999999999998</v>
      </c>
      <c r="G25">
        <v>4.6039999999999998E-2</v>
      </c>
      <c r="H25">
        <v>1.8979999999999999</v>
      </c>
      <c r="I25">
        <v>0.12934000000000001</v>
      </c>
      <c r="J25">
        <v>2.0449999999999999E-2</v>
      </c>
      <c r="K25">
        <v>1.9510000000000001</v>
      </c>
      <c r="L25">
        <v>0.15051</v>
      </c>
      <c r="M25">
        <v>2.3800000000000002E-2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5.266</v>
      </c>
      <c r="U25">
        <v>8.1930000000000003E-2</v>
      </c>
      <c r="V25">
        <v>1.295E-2</v>
      </c>
      <c r="W25">
        <v>4.66</v>
      </c>
      <c r="X25">
        <v>5.9880000000000003E-2</v>
      </c>
      <c r="Y25">
        <v>9.4699999999999993E-3</v>
      </c>
    </row>
    <row r="26" spans="1:25" x14ac:dyDescent="0.2">
      <c r="A26" t="s">
        <v>49</v>
      </c>
      <c r="B26">
        <v>10.481</v>
      </c>
      <c r="C26">
        <v>0.62363000000000002</v>
      </c>
      <c r="D26">
        <v>9.8610000000000003E-2</v>
      </c>
      <c r="E26">
        <v>10.351000000000001</v>
      </c>
      <c r="F26">
        <v>0.45646999999999999</v>
      </c>
      <c r="G26">
        <v>7.2169999999999998E-2</v>
      </c>
      <c r="H26">
        <v>4.1280000000000001</v>
      </c>
      <c r="I26">
        <v>0.4178</v>
      </c>
      <c r="J26">
        <v>6.6059999999999994E-2</v>
      </c>
      <c r="K26">
        <v>3.923</v>
      </c>
      <c r="L26">
        <v>0.17252999999999999</v>
      </c>
      <c r="M26">
        <v>2.7279999999999999E-2</v>
      </c>
      <c r="N26">
        <v>7.9809999999999999</v>
      </c>
      <c r="O26">
        <v>0.58182</v>
      </c>
      <c r="P26">
        <v>9.1990000000000002E-2</v>
      </c>
      <c r="Q26">
        <v>8.2669999999999995</v>
      </c>
      <c r="R26">
        <v>0.80979000000000001</v>
      </c>
      <c r="S26">
        <v>0.12803999999999999</v>
      </c>
      <c r="T26">
        <v>9.6999999999999993</v>
      </c>
      <c r="U26">
        <v>0.14285</v>
      </c>
      <c r="V26">
        <v>2.2589999999999999E-2</v>
      </c>
      <c r="W26">
        <v>9.8239999999999998</v>
      </c>
      <c r="X26">
        <v>8.9709999999999998E-2</v>
      </c>
      <c r="Y26">
        <v>1.418E-2</v>
      </c>
    </row>
    <row r="27" spans="1:25" x14ac:dyDescent="0.2">
      <c r="A27" t="s">
        <v>50</v>
      </c>
      <c r="B27">
        <v>10.375</v>
      </c>
      <c r="C27">
        <v>0.73694999999999999</v>
      </c>
      <c r="D27">
        <v>0.11652</v>
      </c>
      <c r="E27">
        <v>9.9039999999999999</v>
      </c>
      <c r="F27">
        <v>0.59662000000000004</v>
      </c>
      <c r="G27">
        <v>9.4329999999999997E-2</v>
      </c>
      <c r="H27">
        <v>3.7549999999999999</v>
      </c>
      <c r="I27">
        <v>0.18453</v>
      </c>
      <c r="J27">
        <v>2.9180000000000001E-2</v>
      </c>
      <c r="K27">
        <v>3.6960000000000002</v>
      </c>
      <c r="L27">
        <v>0.24137</v>
      </c>
      <c r="M27">
        <v>3.8159999999999999E-2</v>
      </c>
      <c r="N27">
        <v>5.6849999999999996</v>
      </c>
      <c r="O27">
        <v>1.3276300000000001</v>
      </c>
      <c r="P27">
        <v>0.20992</v>
      </c>
      <c r="Q27">
        <v>6.7009999999999996</v>
      </c>
      <c r="R27">
        <v>1.1868399999999999</v>
      </c>
      <c r="S27">
        <v>0.18765999999999999</v>
      </c>
      <c r="T27">
        <v>8.7129999999999992</v>
      </c>
      <c r="U27">
        <v>8.8770000000000002E-2</v>
      </c>
      <c r="V27">
        <v>1.404E-2</v>
      </c>
      <c r="W27">
        <v>8.0730000000000004</v>
      </c>
      <c r="X27">
        <v>0.12407</v>
      </c>
      <c r="Y27">
        <v>1.9619999999999999E-2</v>
      </c>
    </row>
    <row r="28" spans="1:25" x14ac:dyDescent="0.2">
      <c r="A28" t="s">
        <v>51</v>
      </c>
      <c r="B28">
        <v>10.412000000000001</v>
      </c>
      <c r="C28">
        <v>0.76173999999999997</v>
      </c>
      <c r="D28">
        <v>0.12044000000000001</v>
      </c>
      <c r="E28">
        <v>10.52</v>
      </c>
      <c r="F28">
        <v>0.69318000000000002</v>
      </c>
      <c r="G28">
        <v>0.1096</v>
      </c>
      <c r="H28">
        <v>3.722</v>
      </c>
      <c r="I28">
        <v>0.22284999999999999</v>
      </c>
      <c r="J28">
        <v>3.524E-2</v>
      </c>
      <c r="K28">
        <v>3.6659999999999999</v>
      </c>
      <c r="L28">
        <v>0.19320999999999999</v>
      </c>
      <c r="M28">
        <v>3.0550000000000001E-2</v>
      </c>
      <c r="N28">
        <v>6.2569999999999997</v>
      </c>
      <c r="O28">
        <v>0.72955999999999999</v>
      </c>
      <c r="P28">
        <v>0.11534999999999999</v>
      </c>
      <c r="Q28">
        <v>6.4560000000000004</v>
      </c>
      <c r="R28">
        <v>0.84743000000000002</v>
      </c>
      <c r="S28">
        <v>0.13399</v>
      </c>
      <c r="T28">
        <v>8.6809999999999992</v>
      </c>
      <c r="U28">
        <v>0.10245</v>
      </c>
      <c r="V28">
        <v>1.6199999999999999E-2</v>
      </c>
      <c r="W28">
        <v>8.5589999999999993</v>
      </c>
      <c r="X28">
        <v>0.1103</v>
      </c>
      <c r="Y28">
        <v>1.7440000000000001E-2</v>
      </c>
    </row>
    <row r="29" spans="1:25" x14ac:dyDescent="0.2">
      <c r="A29" t="s">
        <v>52</v>
      </c>
      <c r="B29">
        <v>10.654</v>
      </c>
      <c r="C29">
        <v>1.5806</v>
      </c>
      <c r="D29">
        <v>0.24990999999999999</v>
      </c>
      <c r="E29">
        <v>9.9380000000000006</v>
      </c>
      <c r="F29">
        <v>0.71218000000000004</v>
      </c>
      <c r="G29">
        <v>0.11261</v>
      </c>
      <c r="H29">
        <v>3.72</v>
      </c>
      <c r="I29">
        <v>0.12421</v>
      </c>
      <c r="J29">
        <v>1.9640000000000001E-2</v>
      </c>
      <c r="K29">
        <v>3.6349999999999998</v>
      </c>
      <c r="L29">
        <v>0.21088999999999999</v>
      </c>
      <c r="M29">
        <v>3.3349999999999998E-2</v>
      </c>
      <c r="N29">
        <v>5.5380000000000003</v>
      </c>
      <c r="O29">
        <v>1.2208000000000001</v>
      </c>
      <c r="P29">
        <v>0.19303000000000001</v>
      </c>
      <c r="Q29">
        <v>6.2210000000000001</v>
      </c>
      <c r="R29">
        <v>0.61212999999999995</v>
      </c>
      <c r="S29">
        <v>9.6790000000000001E-2</v>
      </c>
      <c r="T29">
        <v>8.7029999999999994</v>
      </c>
      <c r="U29">
        <v>7.4840000000000004E-2</v>
      </c>
      <c r="V29">
        <v>1.183E-2</v>
      </c>
      <c r="W29">
        <v>8.06</v>
      </c>
      <c r="X29">
        <v>0.13569000000000001</v>
      </c>
      <c r="Y29">
        <v>2.145E-2</v>
      </c>
    </row>
    <row r="30" spans="1:25" x14ac:dyDescent="0.2">
      <c r="A30" t="s">
        <v>53</v>
      </c>
      <c r="B30">
        <v>10.273</v>
      </c>
      <c r="C30">
        <v>0.71638000000000002</v>
      </c>
      <c r="D30">
        <v>0.11327</v>
      </c>
      <c r="E30">
        <v>10.316000000000001</v>
      </c>
      <c r="F30">
        <v>0.71025000000000005</v>
      </c>
      <c r="G30">
        <v>0.1123</v>
      </c>
      <c r="H30">
        <v>3.6779999999999999</v>
      </c>
      <c r="I30">
        <v>0.14516999999999999</v>
      </c>
      <c r="J30">
        <v>2.2950000000000002E-2</v>
      </c>
      <c r="K30">
        <v>3.6779999999999999</v>
      </c>
      <c r="L30">
        <v>0.20460999999999999</v>
      </c>
      <c r="M30">
        <v>3.2349999999999997E-2</v>
      </c>
      <c r="N30">
        <v>6.1920000000000002</v>
      </c>
      <c r="O30">
        <v>0.90186999999999995</v>
      </c>
      <c r="P30">
        <v>0.1426</v>
      </c>
      <c r="Q30">
        <v>5.2679999999999998</v>
      </c>
      <c r="R30">
        <v>0.91625999999999996</v>
      </c>
      <c r="S30">
        <v>0.14487</v>
      </c>
      <c r="T30">
        <v>8.6329999999999991</v>
      </c>
      <c r="U30">
        <v>6.6019999999999995E-2</v>
      </c>
      <c r="V30">
        <v>1.044E-2</v>
      </c>
      <c r="W30">
        <v>8.0760000000000005</v>
      </c>
      <c r="X30">
        <v>5.935E-2</v>
      </c>
      <c r="Y30">
        <v>9.3799999999999994E-3</v>
      </c>
    </row>
    <row r="31" spans="1:25" x14ac:dyDescent="0.2">
      <c r="A31" t="s">
        <v>54</v>
      </c>
      <c r="B31">
        <v>10.395</v>
      </c>
      <c r="C31">
        <v>0.65476999999999996</v>
      </c>
      <c r="D31">
        <v>0.10353</v>
      </c>
      <c r="E31">
        <v>10.108000000000001</v>
      </c>
      <c r="F31">
        <v>0.57628000000000001</v>
      </c>
      <c r="G31">
        <v>9.1120000000000007E-2</v>
      </c>
      <c r="H31">
        <v>3.6960000000000002</v>
      </c>
      <c r="I31">
        <v>0.26717999999999997</v>
      </c>
      <c r="J31">
        <v>4.2250000000000003E-2</v>
      </c>
      <c r="K31">
        <v>3.669</v>
      </c>
      <c r="L31">
        <v>0.16458999999999999</v>
      </c>
      <c r="M31">
        <v>2.6020000000000001E-2</v>
      </c>
      <c r="N31">
        <v>3.548</v>
      </c>
      <c r="O31">
        <v>1.06366</v>
      </c>
      <c r="P31">
        <v>0.16818</v>
      </c>
      <c r="Q31">
        <v>5.3730000000000002</v>
      </c>
      <c r="R31">
        <v>0.63026000000000004</v>
      </c>
      <c r="S31">
        <v>9.9650000000000002E-2</v>
      </c>
      <c r="T31">
        <v>8.8190000000000008</v>
      </c>
      <c r="U31">
        <v>0.15776999999999999</v>
      </c>
      <c r="V31">
        <v>2.495E-2</v>
      </c>
      <c r="W31">
        <v>8.4640000000000004</v>
      </c>
      <c r="X31">
        <v>0.12472</v>
      </c>
      <c r="Y31">
        <v>1.9720000000000001E-2</v>
      </c>
    </row>
    <row r="32" spans="1:25" x14ac:dyDescent="0.2">
      <c r="A32" t="s">
        <v>55</v>
      </c>
      <c r="B32">
        <v>10.15</v>
      </c>
      <c r="C32">
        <v>1.29199</v>
      </c>
      <c r="D32">
        <v>0.20427999999999999</v>
      </c>
      <c r="E32">
        <v>9.4250000000000007</v>
      </c>
      <c r="F32">
        <v>1.63123</v>
      </c>
      <c r="G32">
        <v>0.25791999999999998</v>
      </c>
      <c r="H32">
        <v>3.7450000000000001</v>
      </c>
      <c r="I32">
        <v>0.16466</v>
      </c>
      <c r="J32">
        <v>2.6030000000000001E-2</v>
      </c>
      <c r="K32">
        <v>3.661</v>
      </c>
      <c r="L32">
        <v>0.14918999999999999</v>
      </c>
      <c r="M32">
        <v>2.359E-2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9.1920000000000002</v>
      </c>
      <c r="U32">
        <v>9.6829999999999999E-2</v>
      </c>
      <c r="V32">
        <v>1.5310000000000001E-2</v>
      </c>
      <c r="W32">
        <v>8.0449999999999999</v>
      </c>
      <c r="X32">
        <v>6.9940000000000002E-2</v>
      </c>
      <c r="Y32">
        <v>1.106E-2</v>
      </c>
    </row>
    <row r="33" spans="1:25" x14ac:dyDescent="0.2">
      <c r="A33" t="s">
        <v>56</v>
      </c>
      <c r="B33">
        <v>10.625</v>
      </c>
      <c r="C33">
        <v>1.14774</v>
      </c>
      <c r="D33">
        <v>0.18146999999999999</v>
      </c>
      <c r="E33">
        <v>9.25</v>
      </c>
      <c r="F33">
        <v>1.2142299999999999</v>
      </c>
      <c r="G33">
        <v>0.19198999999999999</v>
      </c>
      <c r="H33">
        <v>3.8679999999999999</v>
      </c>
      <c r="I33">
        <v>0.12067</v>
      </c>
      <c r="J33">
        <v>1.908E-2</v>
      </c>
      <c r="K33">
        <v>3.7410000000000001</v>
      </c>
      <c r="L33">
        <v>0.20161999999999999</v>
      </c>
      <c r="M33">
        <v>3.1879999999999999E-2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9.6440000000000001</v>
      </c>
      <c r="U33">
        <v>0.11801</v>
      </c>
      <c r="V33">
        <v>1.866E-2</v>
      </c>
      <c r="W33">
        <v>8.0269999999999992</v>
      </c>
      <c r="X33">
        <v>0.12809000000000001</v>
      </c>
      <c r="Y33">
        <v>2.0250000000000001E-2</v>
      </c>
    </row>
    <row r="34" spans="1:25" x14ac:dyDescent="0.2">
      <c r="A34" t="s">
        <v>57</v>
      </c>
      <c r="B34">
        <v>10.15</v>
      </c>
      <c r="C34">
        <v>0.80223999999999995</v>
      </c>
      <c r="D34">
        <v>0.12684999999999999</v>
      </c>
      <c r="E34">
        <v>9.6</v>
      </c>
      <c r="F34">
        <v>1.29694</v>
      </c>
      <c r="G34">
        <v>0.20505999999999999</v>
      </c>
      <c r="H34">
        <v>3.7730000000000001</v>
      </c>
      <c r="I34">
        <v>0.22017999999999999</v>
      </c>
      <c r="J34">
        <v>3.4810000000000001E-2</v>
      </c>
      <c r="K34">
        <v>3.653</v>
      </c>
      <c r="L34">
        <v>0.14333000000000001</v>
      </c>
      <c r="M34">
        <v>2.266E-2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9.1690000000000005</v>
      </c>
      <c r="U34">
        <v>0.12816</v>
      </c>
      <c r="V34">
        <v>2.026E-2</v>
      </c>
      <c r="W34">
        <v>8.0609999999999999</v>
      </c>
      <c r="X34">
        <v>9.06E-2</v>
      </c>
      <c r="Y34">
        <v>1.4319999999999999E-2</v>
      </c>
    </row>
    <row r="35" spans="1:25" x14ac:dyDescent="0.2">
      <c r="A35" t="s">
        <v>58</v>
      </c>
      <c r="B35">
        <v>10.074999999999999</v>
      </c>
      <c r="C35">
        <v>0.85895999999999995</v>
      </c>
      <c r="D35">
        <v>0.13580999999999999</v>
      </c>
      <c r="E35">
        <v>9.5749999999999993</v>
      </c>
      <c r="F35">
        <v>0.90263000000000004</v>
      </c>
      <c r="G35">
        <v>0.14272000000000001</v>
      </c>
      <c r="H35">
        <v>3.694</v>
      </c>
      <c r="I35">
        <v>0.11266</v>
      </c>
      <c r="J35">
        <v>1.7809999999999999E-2</v>
      </c>
      <c r="K35">
        <v>3.6259999999999999</v>
      </c>
      <c r="L35">
        <v>0.18626000000000001</v>
      </c>
      <c r="M35">
        <v>2.945E-2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9.4920000000000009</v>
      </c>
      <c r="U35">
        <v>0.16774</v>
      </c>
      <c r="V35">
        <v>2.6519999999999998E-2</v>
      </c>
      <c r="W35">
        <v>8.0410000000000004</v>
      </c>
      <c r="X35">
        <v>8.7910000000000002E-2</v>
      </c>
      <c r="Y35">
        <v>1.3899999999999999E-2</v>
      </c>
    </row>
    <row r="36" spans="1:25" x14ac:dyDescent="0.2">
      <c r="A36" t="s">
        <v>59</v>
      </c>
      <c r="B36">
        <v>10.050000000000001</v>
      </c>
      <c r="C36">
        <v>1.0848599999999999</v>
      </c>
      <c r="D36">
        <v>0.17152999999999999</v>
      </c>
      <c r="E36">
        <v>9.5500000000000007</v>
      </c>
      <c r="F36">
        <v>1.4667300000000001</v>
      </c>
      <c r="G36">
        <v>0.23191000000000001</v>
      </c>
      <c r="H36">
        <v>3.6920000000000002</v>
      </c>
      <c r="I36">
        <v>0.18521000000000001</v>
      </c>
      <c r="J36">
        <v>2.928E-2</v>
      </c>
      <c r="K36">
        <v>3.734</v>
      </c>
      <c r="L36">
        <v>0.18947</v>
      </c>
      <c r="M36">
        <v>2.9960000000000001E-2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9.17</v>
      </c>
      <c r="U36">
        <v>0.1668</v>
      </c>
      <c r="V36">
        <v>2.6370000000000001E-2</v>
      </c>
      <c r="W36">
        <v>8.06</v>
      </c>
      <c r="X36">
        <v>9.7769999999999996E-2</v>
      </c>
      <c r="Y36">
        <v>1.546E-2</v>
      </c>
    </row>
    <row r="37" spans="1:25" x14ac:dyDescent="0.2">
      <c r="A37" t="s">
        <v>60</v>
      </c>
      <c r="B37">
        <v>10.025</v>
      </c>
      <c r="C37">
        <v>0.86194000000000004</v>
      </c>
      <c r="D37">
        <v>0.13628999999999999</v>
      </c>
      <c r="E37">
        <v>10.125</v>
      </c>
      <c r="F37">
        <v>1.09046</v>
      </c>
      <c r="G37">
        <v>0.17241999999999999</v>
      </c>
      <c r="H37">
        <v>3.7490000000000001</v>
      </c>
      <c r="I37">
        <v>0.20438000000000001</v>
      </c>
      <c r="J37">
        <v>3.2320000000000002E-2</v>
      </c>
      <c r="K37">
        <v>8.8040000000000003</v>
      </c>
      <c r="L37">
        <v>0.15071000000000001</v>
      </c>
      <c r="M37">
        <v>2.383E-2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9.1379999999999999</v>
      </c>
      <c r="U37">
        <v>0.23824999999999999</v>
      </c>
      <c r="V37">
        <v>3.7670000000000002E-2</v>
      </c>
      <c r="W37">
        <v>9.1620000000000008</v>
      </c>
      <c r="X37">
        <v>0.12347</v>
      </c>
      <c r="Y37">
        <v>1.9519999999999999E-2</v>
      </c>
    </row>
    <row r="38" spans="1:25" x14ac:dyDescent="0.2">
      <c r="A38" t="s">
        <v>61</v>
      </c>
      <c r="B38">
        <v>10.525</v>
      </c>
      <c r="C38">
        <v>0.42359000000000002</v>
      </c>
      <c r="D38">
        <v>6.6979999999999998E-2</v>
      </c>
      <c r="E38">
        <v>10.512</v>
      </c>
      <c r="F38">
        <v>0.93971000000000005</v>
      </c>
      <c r="G38">
        <v>0.14857999999999999</v>
      </c>
      <c r="H38">
        <v>3.9249999999999998</v>
      </c>
      <c r="I38">
        <v>0.16469</v>
      </c>
      <c r="J38">
        <v>2.6040000000000001E-2</v>
      </c>
      <c r="K38">
        <v>3.8889999999999998</v>
      </c>
      <c r="L38">
        <v>0.17441000000000001</v>
      </c>
      <c r="M38">
        <v>2.758E-2</v>
      </c>
      <c r="N38">
        <v>8.2370000000000001</v>
      </c>
      <c r="O38">
        <v>2.7572899999999998</v>
      </c>
      <c r="P38">
        <v>0.43597000000000002</v>
      </c>
      <c r="Q38">
        <v>5.91</v>
      </c>
      <c r="R38">
        <v>2.2219899999999999</v>
      </c>
      <c r="S38">
        <v>0.35132999999999998</v>
      </c>
      <c r="T38">
        <v>9.609</v>
      </c>
      <c r="U38">
        <v>7.0550000000000002E-2</v>
      </c>
      <c r="V38">
        <v>1.116E-2</v>
      </c>
      <c r="W38">
        <v>9.66</v>
      </c>
      <c r="X38">
        <v>0.11366999999999999</v>
      </c>
      <c r="Y38">
        <v>1.797E-2</v>
      </c>
    </row>
    <row r="39" spans="1:25" x14ac:dyDescent="0.2">
      <c r="A39" t="s">
        <v>62</v>
      </c>
      <c r="B39">
        <v>10.054</v>
      </c>
      <c r="C39">
        <v>0.51509000000000005</v>
      </c>
      <c r="D39">
        <v>8.1439999999999999E-2</v>
      </c>
      <c r="E39">
        <v>9.6969999999999992</v>
      </c>
      <c r="F39">
        <v>0.45323999999999998</v>
      </c>
      <c r="G39">
        <v>7.1660000000000001E-2</v>
      </c>
      <c r="H39">
        <v>3.7170000000000001</v>
      </c>
      <c r="I39">
        <v>0.22092000000000001</v>
      </c>
      <c r="J39">
        <v>3.4930000000000003E-2</v>
      </c>
      <c r="K39">
        <v>3.6619999999999999</v>
      </c>
      <c r="L39">
        <v>0.14097999999999999</v>
      </c>
      <c r="M39">
        <v>2.2290000000000001E-2</v>
      </c>
      <c r="N39">
        <v>6.3570000000000002</v>
      </c>
      <c r="O39">
        <v>0.99883999999999995</v>
      </c>
      <c r="P39">
        <v>0.15792999999999999</v>
      </c>
      <c r="Q39">
        <v>5.9080000000000004</v>
      </c>
      <c r="R39">
        <v>1.03637</v>
      </c>
      <c r="S39">
        <v>0.16386000000000001</v>
      </c>
      <c r="T39">
        <v>8.6110000000000007</v>
      </c>
      <c r="U39">
        <v>0.14165</v>
      </c>
      <c r="V39">
        <v>2.24E-2</v>
      </c>
      <c r="W39">
        <v>7.9960000000000004</v>
      </c>
      <c r="X39">
        <v>7.7109999999999998E-2</v>
      </c>
      <c r="Y39">
        <v>1.2189999999999999E-2</v>
      </c>
    </row>
    <row r="40" spans="1:25" x14ac:dyDescent="0.2">
      <c r="A40" t="s">
        <v>63</v>
      </c>
      <c r="B40">
        <v>10.502000000000001</v>
      </c>
      <c r="C40">
        <v>0.68884999999999996</v>
      </c>
      <c r="D40">
        <v>0.10892</v>
      </c>
      <c r="E40">
        <v>10.634</v>
      </c>
      <c r="F40">
        <v>1.00434</v>
      </c>
      <c r="G40">
        <v>0.1588</v>
      </c>
      <c r="H40">
        <v>4.0090000000000003</v>
      </c>
      <c r="I40">
        <v>0.17582</v>
      </c>
      <c r="J40">
        <v>2.7799999999999998E-2</v>
      </c>
      <c r="K40">
        <v>3.8260000000000001</v>
      </c>
      <c r="L40">
        <v>0.12534000000000001</v>
      </c>
      <c r="M40">
        <v>1.9820000000000001E-2</v>
      </c>
      <c r="N40">
        <v>6.0860000000000003</v>
      </c>
      <c r="O40">
        <v>0.84858999999999996</v>
      </c>
      <c r="P40">
        <v>0.13417000000000001</v>
      </c>
      <c r="Q40">
        <v>4.7699999999999996</v>
      </c>
      <c r="R40">
        <v>1.11456</v>
      </c>
      <c r="S40">
        <v>0.17623</v>
      </c>
      <c r="T40">
        <v>9.3740000000000006</v>
      </c>
      <c r="U40">
        <v>0.11414000000000001</v>
      </c>
      <c r="V40">
        <v>1.805E-2</v>
      </c>
      <c r="W40">
        <v>9.391</v>
      </c>
      <c r="X40">
        <v>0.13419</v>
      </c>
      <c r="Y40">
        <v>2.1219999999999999E-2</v>
      </c>
    </row>
    <row r="41" spans="1:25" x14ac:dyDescent="0.2">
      <c r="A41" t="s">
        <v>64</v>
      </c>
      <c r="B41">
        <v>9.9120000000000008</v>
      </c>
      <c r="C41">
        <v>0.26999000000000001</v>
      </c>
      <c r="D41">
        <v>4.2689999999999999E-2</v>
      </c>
      <c r="E41">
        <v>9.9659999999999993</v>
      </c>
      <c r="F41">
        <v>0.61426000000000003</v>
      </c>
      <c r="G41">
        <v>9.7119999999999998E-2</v>
      </c>
      <c r="H41">
        <v>3.859</v>
      </c>
      <c r="I41">
        <v>0.22031999999999999</v>
      </c>
      <c r="J41">
        <v>3.4840000000000003E-2</v>
      </c>
      <c r="K41">
        <v>3.7869999999999999</v>
      </c>
      <c r="L41">
        <v>0.28431000000000001</v>
      </c>
      <c r="M41">
        <v>4.4949999999999997E-2</v>
      </c>
      <c r="N41">
        <v>6.47</v>
      </c>
      <c r="O41">
        <v>1.4349799999999999</v>
      </c>
      <c r="P41">
        <v>0.22689000000000001</v>
      </c>
      <c r="Q41">
        <v>5.64</v>
      </c>
      <c r="R41">
        <v>1.6860999999999999</v>
      </c>
      <c r="S41">
        <v>0.2666</v>
      </c>
      <c r="T41">
        <v>8.7650000000000006</v>
      </c>
      <c r="U41">
        <v>0.12286999999999999</v>
      </c>
      <c r="V41">
        <v>1.9429999999999999E-2</v>
      </c>
      <c r="W41">
        <v>8.0090000000000003</v>
      </c>
      <c r="X41">
        <v>0.10462</v>
      </c>
      <c r="Y41">
        <v>1.6539999999999999E-2</v>
      </c>
    </row>
    <row r="42" spans="1:25" x14ac:dyDescent="0.2">
      <c r="A42" t="s">
        <v>65</v>
      </c>
      <c r="B42">
        <v>10.252000000000001</v>
      </c>
      <c r="C42">
        <v>0.50478999999999996</v>
      </c>
      <c r="D42">
        <v>7.9820000000000002E-2</v>
      </c>
      <c r="E42">
        <v>10.268000000000001</v>
      </c>
      <c r="F42">
        <v>0.66920000000000002</v>
      </c>
      <c r="G42">
        <v>0.10581</v>
      </c>
      <c r="H42">
        <v>3.8290000000000002</v>
      </c>
      <c r="I42">
        <v>0.21368000000000001</v>
      </c>
      <c r="J42">
        <v>3.3790000000000001E-2</v>
      </c>
      <c r="K42">
        <v>3.8759999999999999</v>
      </c>
      <c r="L42">
        <v>0.22553999999999999</v>
      </c>
      <c r="M42">
        <v>3.5659999999999997E-2</v>
      </c>
      <c r="N42">
        <v>6.21</v>
      </c>
      <c r="O42">
        <v>0.52746999999999999</v>
      </c>
      <c r="P42">
        <v>8.3400000000000002E-2</v>
      </c>
      <c r="Q42">
        <v>6.3179999999999996</v>
      </c>
      <c r="R42">
        <v>1.3427800000000001</v>
      </c>
      <c r="S42">
        <v>0.21231</v>
      </c>
      <c r="T42">
        <v>9.1170000000000009</v>
      </c>
      <c r="U42">
        <v>0.14082</v>
      </c>
      <c r="V42">
        <v>2.2259999999999999E-2</v>
      </c>
      <c r="W42">
        <v>9.0259999999999998</v>
      </c>
      <c r="X42">
        <v>0.17044999999999999</v>
      </c>
      <c r="Y42">
        <v>2.6950000000000002E-2</v>
      </c>
    </row>
    <row r="43" spans="1:25" x14ac:dyDescent="0.2">
      <c r="A43" t="s">
        <v>66</v>
      </c>
      <c r="B43">
        <v>10.201000000000001</v>
      </c>
      <c r="C43">
        <v>0.41632000000000002</v>
      </c>
      <c r="D43">
        <v>6.583E-2</v>
      </c>
      <c r="E43">
        <v>10.256</v>
      </c>
      <c r="F43">
        <v>0.49378</v>
      </c>
      <c r="G43">
        <v>7.8070000000000001E-2</v>
      </c>
      <c r="H43">
        <v>3.8159999999999998</v>
      </c>
      <c r="I43">
        <v>0.15484000000000001</v>
      </c>
      <c r="J43">
        <v>2.4479999999999998E-2</v>
      </c>
      <c r="K43">
        <v>3.8250000000000002</v>
      </c>
      <c r="L43">
        <v>0.27082000000000001</v>
      </c>
      <c r="M43">
        <v>4.2819999999999997E-2</v>
      </c>
      <c r="N43">
        <v>6.91</v>
      </c>
      <c r="O43">
        <v>0.92649999999999999</v>
      </c>
      <c r="P43">
        <v>0.14649000000000001</v>
      </c>
      <c r="Q43">
        <v>6.95</v>
      </c>
      <c r="R43">
        <v>1.22997</v>
      </c>
      <c r="S43">
        <v>0.19447999999999999</v>
      </c>
      <c r="T43">
        <v>9.0310000000000006</v>
      </c>
      <c r="U43">
        <v>9.0509999999999993E-2</v>
      </c>
      <c r="V43">
        <v>1.431E-2</v>
      </c>
      <c r="W43">
        <v>9.0289999999999999</v>
      </c>
      <c r="X43">
        <v>0.14276</v>
      </c>
      <c r="Y43">
        <v>2.257E-2</v>
      </c>
    </row>
    <row r="44" spans="1:25" x14ac:dyDescent="0.2">
      <c r="A44" t="s">
        <v>67</v>
      </c>
      <c r="B44">
        <v>10.114000000000001</v>
      </c>
      <c r="C44">
        <v>0.38980999999999999</v>
      </c>
      <c r="D44">
        <v>6.1629999999999997E-2</v>
      </c>
      <c r="E44">
        <v>10.128</v>
      </c>
      <c r="F44">
        <v>0.65098999999999996</v>
      </c>
      <c r="G44">
        <v>0.10292999999999999</v>
      </c>
      <c r="H44">
        <v>3.7080000000000002</v>
      </c>
      <c r="I44">
        <v>0.17332</v>
      </c>
      <c r="J44">
        <v>2.7400000000000001E-2</v>
      </c>
      <c r="K44">
        <v>3.8109999999999999</v>
      </c>
      <c r="L44">
        <v>0.25662000000000001</v>
      </c>
      <c r="M44">
        <v>4.0579999999999998E-2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8.6969999999999992</v>
      </c>
      <c r="U44">
        <v>0.11565</v>
      </c>
      <c r="V44">
        <v>1.8290000000000001E-2</v>
      </c>
      <c r="W44">
        <v>8.0239999999999991</v>
      </c>
      <c r="X44">
        <v>8.7410000000000002E-2</v>
      </c>
      <c r="Y44">
        <v>1.3820000000000001E-2</v>
      </c>
    </row>
    <row r="45" spans="1:25" x14ac:dyDescent="0.2">
      <c r="A45" t="s">
        <v>68</v>
      </c>
      <c r="B45">
        <v>10.196999999999999</v>
      </c>
      <c r="C45">
        <v>0.41316999999999998</v>
      </c>
      <c r="D45">
        <v>6.5329999999999999E-2</v>
      </c>
      <c r="E45">
        <v>9.8379999999999992</v>
      </c>
      <c r="F45">
        <v>0.58477999999999997</v>
      </c>
      <c r="G45">
        <v>9.2460000000000001E-2</v>
      </c>
      <c r="H45">
        <v>3.73</v>
      </c>
      <c r="I45">
        <v>0.19036</v>
      </c>
      <c r="J45">
        <v>3.0099999999999998E-2</v>
      </c>
      <c r="K45">
        <v>3.6469999999999998</v>
      </c>
      <c r="L45">
        <v>0.19663</v>
      </c>
      <c r="M45">
        <v>3.109E-2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8.6440000000000001</v>
      </c>
      <c r="U45">
        <v>0.11126999999999999</v>
      </c>
      <c r="V45">
        <v>1.7590000000000001E-2</v>
      </c>
      <c r="W45">
        <v>8.032</v>
      </c>
      <c r="X45">
        <v>0.13800000000000001</v>
      </c>
      <c r="Y45">
        <v>2.1819999999999999E-2</v>
      </c>
    </row>
    <row r="46" spans="1:25" x14ac:dyDescent="0.2">
      <c r="A46" t="s">
        <v>69</v>
      </c>
      <c r="B46">
        <v>10.013999999999999</v>
      </c>
      <c r="C46">
        <v>0.25319000000000003</v>
      </c>
      <c r="D46">
        <v>4.0030000000000003E-2</v>
      </c>
      <c r="E46">
        <v>9.6790000000000003</v>
      </c>
      <c r="F46">
        <v>0.70396000000000003</v>
      </c>
      <c r="G46">
        <v>0.11131000000000001</v>
      </c>
      <c r="H46">
        <v>3.843</v>
      </c>
      <c r="I46">
        <v>0.25131999999999999</v>
      </c>
      <c r="J46">
        <v>3.9739999999999998E-2</v>
      </c>
      <c r="K46">
        <v>3.6339999999999999</v>
      </c>
      <c r="L46">
        <v>0.20802000000000001</v>
      </c>
      <c r="M46">
        <v>3.2890000000000003E-2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8.6709999999999994</v>
      </c>
      <c r="U46">
        <v>8.6999999999999994E-2</v>
      </c>
      <c r="V46">
        <v>1.376E-2</v>
      </c>
      <c r="W46">
        <v>7.9809999999999999</v>
      </c>
      <c r="X46">
        <v>7.6050000000000006E-2</v>
      </c>
      <c r="Y46">
        <v>1.2019999999999999E-2</v>
      </c>
    </row>
    <row r="47" spans="1:25" x14ac:dyDescent="0.2">
      <c r="A47" t="s">
        <v>70</v>
      </c>
      <c r="B47">
        <v>10.131</v>
      </c>
      <c r="C47">
        <v>0.40046999999999999</v>
      </c>
      <c r="D47">
        <v>6.3320000000000001E-2</v>
      </c>
      <c r="E47">
        <v>10.273999999999999</v>
      </c>
      <c r="F47">
        <v>0.73075999999999997</v>
      </c>
      <c r="G47">
        <v>0.11554</v>
      </c>
      <c r="H47">
        <v>3.85</v>
      </c>
      <c r="I47">
        <v>0.21709000000000001</v>
      </c>
      <c r="J47">
        <v>3.4320000000000003E-2</v>
      </c>
      <c r="K47">
        <v>3.7080000000000002</v>
      </c>
      <c r="L47">
        <v>0.24102000000000001</v>
      </c>
      <c r="M47">
        <v>3.8109999999999998E-2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8.6129999999999995</v>
      </c>
      <c r="U47">
        <v>0.11376</v>
      </c>
      <c r="V47">
        <v>1.7989999999999999E-2</v>
      </c>
      <c r="W47">
        <v>8.01</v>
      </c>
      <c r="X47">
        <v>8.2699999999999996E-2</v>
      </c>
      <c r="Y47">
        <v>1.308E-2</v>
      </c>
    </row>
    <row r="48" spans="1:25" x14ac:dyDescent="0.2">
      <c r="A48" t="s">
        <v>71</v>
      </c>
      <c r="B48">
        <v>10.502000000000001</v>
      </c>
      <c r="C48">
        <v>0.35571000000000003</v>
      </c>
      <c r="D48">
        <v>5.6239999999999998E-2</v>
      </c>
      <c r="E48">
        <v>10.311999999999999</v>
      </c>
      <c r="F48">
        <v>0.64102999999999999</v>
      </c>
      <c r="G48">
        <v>0.10136000000000001</v>
      </c>
      <c r="H48">
        <v>3.7480000000000002</v>
      </c>
      <c r="I48">
        <v>0.19427</v>
      </c>
      <c r="J48">
        <v>3.0720000000000001E-2</v>
      </c>
      <c r="K48">
        <v>3.71</v>
      </c>
      <c r="L48">
        <v>0.19508</v>
      </c>
      <c r="M48">
        <v>3.0849999999999999E-2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8.6289999999999996</v>
      </c>
      <c r="U48">
        <v>0.15192</v>
      </c>
      <c r="V48">
        <v>2.402E-2</v>
      </c>
      <c r="W48">
        <v>8.0289999999999999</v>
      </c>
      <c r="X48">
        <v>9.2749999999999999E-2</v>
      </c>
      <c r="Y48">
        <v>1.4659999999999999E-2</v>
      </c>
    </row>
    <row r="49" spans="1:25" x14ac:dyDescent="0.2">
      <c r="A49" t="s">
        <v>72</v>
      </c>
      <c r="B49">
        <v>10.43</v>
      </c>
      <c r="C49">
        <v>0.48810999999999999</v>
      </c>
      <c r="D49">
        <v>7.7179999999999999E-2</v>
      </c>
      <c r="E49">
        <v>10.573</v>
      </c>
      <c r="F49">
        <v>0.76504000000000005</v>
      </c>
      <c r="G49">
        <v>0.12096</v>
      </c>
      <c r="H49">
        <v>3.8029999999999999</v>
      </c>
      <c r="I49">
        <v>0.20537</v>
      </c>
      <c r="J49">
        <v>3.2469999999999999E-2</v>
      </c>
      <c r="K49">
        <v>3.758</v>
      </c>
      <c r="L49">
        <v>0.26263999999999998</v>
      </c>
      <c r="M49">
        <v>4.1529999999999997E-2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9.1</v>
      </c>
      <c r="U49">
        <v>0.17011999999999999</v>
      </c>
      <c r="V49">
        <v>2.69E-2</v>
      </c>
      <c r="W49">
        <v>9.1270000000000007</v>
      </c>
      <c r="X49">
        <v>0.14421999999999999</v>
      </c>
      <c r="Y49">
        <v>2.2800000000000001E-2</v>
      </c>
    </row>
    <row r="50" spans="1:25" x14ac:dyDescent="0.2">
      <c r="A50" t="s">
        <v>73</v>
      </c>
      <c r="B50">
        <v>8.4890000000000008</v>
      </c>
      <c r="C50">
        <v>0.31046000000000001</v>
      </c>
      <c r="D50">
        <v>4.9090000000000002E-2</v>
      </c>
      <c r="E50">
        <v>8.5739999999999998</v>
      </c>
      <c r="F50">
        <v>0.39387</v>
      </c>
      <c r="G50">
        <v>6.2280000000000002E-2</v>
      </c>
      <c r="H50">
        <v>5.508</v>
      </c>
      <c r="I50">
        <v>0.12292</v>
      </c>
      <c r="J50">
        <v>1.9429999999999999E-2</v>
      </c>
      <c r="K50">
        <v>5.484</v>
      </c>
      <c r="L50">
        <v>8.6550000000000002E-2</v>
      </c>
      <c r="M50">
        <v>1.3679999999999999E-2</v>
      </c>
      <c r="N50">
        <v>16.385999999999999</v>
      </c>
      <c r="O50">
        <v>1.1582300000000001</v>
      </c>
      <c r="P50">
        <v>0.18312999999999999</v>
      </c>
      <c r="Q50">
        <v>16.646999999999998</v>
      </c>
      <c r="R50">
        <v>1.0931999999999999</v>
      </c>
      <c r="S50">
        <v>0.17285</v>
      </c>
      <c r="T50">
        <v>8.8680000000000003</v>
      </c>
      <c r="U50">
        <v>0.25266</v>
      </c>
      <c r="V50">
        <v>3.9949999999999999E-2</v>
      </c>
      <c r="W50">
        <v>11.762</v>
      </c>
      <c r="X50">
        <v>9.1109999999999997E-2</v>
      </c>
      <c r="Y50">
        <v>1.4409999999999999E-2</v>
      </c>
    </row>
    <row r="51" spans="1:25" x14ac:dyDescent="0.2">
      <c r="A51" t="s">
        <v>74</v>
      </c>
      <c r="B51">
        <v>8.4459999999999997</v>
      </c>
      <c r="C51">
        <v>0.31894</v>
      </c>
      <c r="D51">
        <v>5.0430000000000003E-2</v>
      </c>
      <c r="E51">
        <v>8.5760000000000005</v>
      </c>
      <c r="F51">
        <v>0.48039999999999999</v>
      </c>
      <c r="G51">
        <v>7.596E-2</v>
      </c>
      <c r="H51">
        <v>5.5170000000000003</v>
      </c>
      <c r="I51">
        <v>0.15226999999999999</v>
      </c>
      <c r="J51">
        <v>2.4080000000000001E-2</v>
      </c>
      <c r="K51">
        <v>5.617</v>
      </c>
      <c r="L51">
        <v>0.12051000000000001</v>
      </c>
      <c r="M51">
        <v>1.9050000000000001E-2</v>
      </c>
      <c r="N51">
        <v>16.292999999999999</v>
      </c>
      <c r="O51">
        <v>0.84067000000000003</v>
      </c>
      <c r="P51">
        <v>0.13292000000000001</v>
      </c>
      <c r="Q51">
        <v>15.878</v>
      </c>
      <c r="R51">
        <v>0.89373999999999998</v>
      </c>
      <c r="S51">
        <v>0.14130999999999999</v>
      </c>
      <c r="T51">
        <v>8.4779999999999998</v>
      </c>
      <c r="U51">
        <v>0.23099</v>
      </c>
      <c r="V51">
        <v>3.6519999999999997E-2</v>
      </c>
      <c r="W51">
        <v>8.6660000000000004</v>
      </c>
      <c r="X51">
        <v>0.1497</v>
      </c>
      <c r="Y51">
        <v>2.367E-2</v>
      </c>
    </row>
    <row r="52" spans="1:25" x14ac:dyDescent="0.2">
      <c r="A52" t="s">
        <v>75</v>
      </c>
      <c r="B52">
        <v>8.3719999999999999</v>
      </c>
      <c r="C52">
        <v>0.22800000000000001</v>
      </c>
      <c r="D52">
        <v>3.6049999999999999E-2</v>
      </c>
      <c r="E52">
        <v>8.4809999999999999</v>
      </c>
      <c r="F52">
        <v>0.38251000000000002</v>
      </c>
      <c r="G52">
        <v>6.0479999999999999E-2</v>
      </c>
      <c r="H52">
        <v>5.4560000000000004</v>
      </c>
      <c r="I52">
        <v>0.10145999999999999</v>
      </c>
      <c r="J52">
        <v>1.6039999999999999E-2</v>
      </c>
      <c r="K52">
        <v>5.4859999999999998</v>
      </c>
      <c r="L52">
        <v>0.11051</v>
      </c>
      <c r="M52">
        <v>1.7469999999999999E-2</v>
      </c>
      <c r="N52">
        <v>16.105</v>
      </c>
      <c r="O52">
        <v>0.90246000000000004</v>
      </c>
      <c r="P52">
        <v>0.14269000000000001</v>
      </c>
      <c r="Q52">
        <v>17.117999999999999</v>
      </c>
      <c r="R52">
        <v>1.96997</v>
      </c>
      <c r="S52">
        <v>0.31147999999999998</v>
      </c>
      <c r="T52">
        <v>8.5050000000000008</v>
      </c>
      <c r="U52">
        <v>0.26185999999999998</v>
      </c>
      <c r="V52">
        <v>4.1399999999999999E-2</v>
      </c>
      <c r="W52">
        <v>8.5079999999999991</v>
      </c>
      <c r="X52">
        <v>0.20918999999999999</v>
      </c>
      <c r="Y52">
        <v>3.3079999999999998E-2</v>
      </c>
    </row>
    <row r="53" spans="1:25" x14ac:dyDescent="0.2">
      <c r="A53" t="s">
        <v>76</v>
      </c>
      <c r="B53">
        <v>8.6020000000000003</v>
      </c>
      <c r="C53">
        <v>0.36484</v>
      </c>
      <c r="D53">
        <v>5.7689999999999998E-2</v>
      </c>
      <c r="E53">
        <v>8.423</v>
      </c>
      <c r="F53">
        <v>0.39169999999999999</v>
      </c>
      <c r="G53">
        <v>6.1929999999999999E-2</v>
      </c>
      <c r="H53">
        <v>5.46</v>
      </c>
      <c r="I53">
        <v>8.8279999999999997E-2</v>
      </c>
      <c r="J53">
        <v>1.396E-2</v>
      </c>
      <c r="K53">
        <v>5.6</v>
      </c>
      <c r="L53">
        <v>0.11248</v>
      </c>
      <c r="M53">
        <v>1.779E-2</v>
      </c>
      <c r="N53">
        <v>16.638000000000002</v>
      </c>
      <c r="O53">
        <v>1.13527</v>
      </c>
      <c r="P53">
        <v>0.17949999999999999</v>
      </c>
      <c r="Q53">
        <v>15.162000000000001</v>
      </c>
      <c r="R53">
        <v>1.24309</v>
      </c>
      <c r="S53">
        <v>0.19655</v>
      </c>
      <c r="T53">
        <v>8.5139999999999993</v>
      </c>
      <c r="U53">
        <v>0.22639000000000001</v>
      </c>
      <c r="V53">
        <v>3.5799999999999998E-2</v>
      </c>
      <c r="W53">
        <v>8.6880000000000006</v>
      </c>
      <c r="X53">
        <v>0.18074999999999999</v>
      </c>
      <c r="Y53">
        <v>2.8580000000000001E-2</v>
      </c>
    </row>
    <row r="54" spans="1:25" x14ac:dyDescent="0.2">
      <c r="A54" t="s">
        <v>77</v>
      </c>
      <c r="B54">
        <v>8.4909999999999997</v>
      </c>
      <c r="C54">
        <v>0.38007999999999997</v>
      </c>
      <c r="D54">
        <v>6.0100000000000001E-2</v>
      </c>
      <c r="E54">
        <v>8.468</v>
      </c>
      <c r="F54">
        <v>0.39771000000000001</v>
      </c>
      <c r="G54">
        <v>6.2880000000000005E-2</v>
      </c>
      <c r="H54">
        <v>5.5039999999999996</v>
      </c>
      <c r="I54">
        <v>0.11275</v>
      </c>
      <c r="J54">
        <v>1.7829999999999999E-2</v>
      </c>
      <c r="K54">
        <v>5.46</v>
      </c>
      <c r="L54">
        <v>4.6199999999999998E-2</v>
      </c>
      <c r="M54">
        <v>7.3000000000000001E-3</v>
      </c>
      <c r="N54">
        <v>13.443</v>
      </c>
      <c r="O54">
        <v>1.1252599999999999</v>
      </c>
      <c r="P54">
        <v>0.17791999999999999</v>
      </c>
      <c r="Q54">
        <v>11.683999999999999</v>
      </c>
      <c r="R54">
        <v>0.59165999999999996</v>
      </c>
      <c r="S54">
        <v>9.3549999999999994E-2</v>
      </c>
      <c r="T54">
        <v>8.1929999999999996</v>
      </c>
      <c r="U54">
        <v>0.31885999999999998</v>
      </c>
      <c r="V54">
        <v>5.042E-2</v>
      </c>
      <c r="W54">
        <v>8.6769999999999996</v>
      </c>
      <c r="X54">
        <v>0.30829000000000001</v>
      </c>
      <c r="Y54">
        <v>4.8739999999999999E-2</v>
      </c>
    </row>
    <row r="55" spans="1:25" x14ac:dyDescent="0.2">
      <c r="A55" t="s">
        <v>78</v>
      </c>
      <c r="B55">
        <v>8.4960000000000004</v>
      </c>
      <c r="C55">
        <v>0.42743999999999999</v>
      </c>
      <c r="D55">
        <v>6.7580000000000001E-2</v>
      </c>
      <c r="E55">
        <v>8.4789999999999992</v>
      </c>
      <c r="F55">
        <v>0.51953000000000005</v>
      </c>
      <c r="G55">
        <v>8.2140000000000005E-2</v>
      </c>
      <c r="H55">
        <v>5.4480000000000004</v>
      </c>
      <c r="I55">
        <v>4.8770000000000001E-2</v>
      </c>
      <c r="J55">
        <v>7.7099999999999998E-3</v>
      </c>
      <c r="K55">
        <v>5.5869999999999997</v>
      </c>
      <c r="L55">
        <v>0.10764</v>
      </c>
      <c r="M55">
        <v>1.702E-2</v>
      </c>
      <c r="N55">
        <v>13.507</v>
      </c>
      <c r="O55">
        <v>1.18127</v>
      </c>
      <c r="P55">
        <v>0.18678</v>
      </c>
      <c r="Q55">
        <v>12.634</v>
      </c>
      <c r="R55">
        <v>0.85558999999999996</v>
      </c>
      <c r="S55">
        <v>0.13528000000000001</v>
      </c>
      <c r="T55">
        <v>8.2959999999999994</v>
      </c>
      <c r="U55">
        <v>0.18625</v>
      </c>
      <c r="V55">
        <v>2.945E-2</v>
      </c>
      <c r="W55">
        <v>8.5640000000000001</v>
      </c>
      <c r="X55">
        <v>0.19989000000000001</v>
      </c>
      <c r="Y55">
        <v>3.1600000000000003E-2</v>
      </c>
    </row>
    <row r="56" spans="1:25" x14ac:dyDescent="0.2">
      <c r="A56" t="s">
        <v>79</v>
      </c>
      <c r="B56">
        <v>7.1</v>
      </c>
      <c r="C56">
        <v>0.87119000000000002</v>
      </c>
      <c r="D56">
        <v>0.13775000000000001</v>
      </c>
      <c r="E56">
        <v>8.125</v>
      </c>
      <c r="F56">
        <v>2.5539100000000001</v>
      </c>
      <c r="G56">
        <v>0.40381</v>
      </c>
      <c r="H56">
        <v>3.6749999999999998</v>
      </c>
      <c r="I56">
        <v>0.14433000000000001</v>
      </c>
      <c r="J56">
        <v>2.282E-2</v>
      </c>
      <c r="K56">
        <v>3.4660000000000002</v>
      </c>
      <c r="L56">
        <v>0.17612</v>
      </c>
      <c r="M56">
        <v>2.785E-2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7.9619999999999997</v>
      </c>
      <c r="U56">
        <v>0.30064000000000002</v>
      </c>
      <c r="V56">
        <v>4.7530000000000003E-2</v>
      </c>
      <c r="W56">
        <v>6.8849999999999998</v>
      </c>
      <c r="X56">
        <v>0.17255000000000001</v>
      </c>
      <c r="Y56">
        <v>2.7279999999999999E-2</v>
      </c>
    </row>
    <row r="57" spans="1:25" x14ac:dyDescent="0.2">
      <c r="A57" t="s">
        <v>80</v>
      </c>
      <c r="B57">
        <v>7.9</v>
      </c>
      <c r="C57">
        <v>1.15025</v>
      </c>
      <c r="D57">
        <v>0.18187</v>
      </c>
      <c r="E57">
        <v>7.75</v>
      </c>
      <c r="F57">
        <v>2.09701</v>
      </c>
      <c r="G57">
        <v>0.33156999999999998</v>
      </c>
      <c r="H57">
        <v>5.4930000000000003</v>
      </c>
      <c r="I57">
        <v>9.8409999999999997E-2</v>
      </c>
      <c r="J57">
        <v>1.5559999999999999E-2</v>
      </c>
      <c r="K57">
        <v>3.5209999999999999</v>
      </c>
      <c r="L57">
        <v>0.17552000000000001</v>
      </c>
      <c r="M57">
        <v>2.775E-2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8.6069999999999993</v>
      </c>
      <c r="U57">
        <v>0.19608</v>
      </c>
      <c r="V57">
        <v>3.1E-2</v>
      </c>
      <c r="W57">
        <v>6.83</v>
      </c>
      <c r="X57">
        <v>0.14068</v>
      </c>
      <c r="Y57">
        <v>2.2239999999999999E-2</v>
      </c>
    </row>
    <row r="58" spans="1:25" x14ac:dyDescent="0.2">
      <c r="A58" t="s">
        <v>81</v>
      </c>
      <c r="B58">
        <v>7.2249999999999996</v>
      </c>
      <c r="C58">
        <v>1.40489</v>
      </c>
      <c r="D58">
        <v>0.22212999999999999</v>
      </c>
      <c r="E58">
        <v>7.2</v>
      </c>
      <c r="F58">
        <v>0.79096999999999995</v>
      </c>
      <c r="G58">
        <v>0.12506</v>
      </c>
      <c r="H58">
        <v>3.7</v>
      </c>
      <c r="I58">
        <v>0.12046999999999999</v>
      </c>
      <c r="J58">
        <v>1.9050000000000001E-2</v>
      </c>
      <c r="K58">
        <v>3.456</v>
      </c>
      <c r="L58">
        <v>8.0399999999999999E-2</v>
      </c>
      <c r="M58">
        <v>1.2710000000000001E-2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7.7869999999999999</v>
      </c>
      <c r="U58">
        <v>0.32368000000000002</v>
      </c>
      <c r="V58">
        <v>5.1180000000000003E-2</v>
      </c>
      <c r="W58">
        <v>6.875</v>
      </c>
      <c r="X58">
        <v>0.15719</v>
      </c>
      <c r="Y58">
        <v>2.4850000000000001E-2</v>
      </c>
    </row>
    <row r="59" spans="1:25" x14ac:dyDescent="0.2">
      <c r="A59" t="s">
        <v>82</v>
      </c>
      <c r="B59">
        <v>7.6</v>
      </c>
      <c r="C59">
        <v>0.81018999999999997</v>
      </c>
      <c r="D59">
        <v>0.12809999999999999</v>
      </c>
      <c r="E59">
        <v>7.15</v>
      </c>
      <c r="F59">
        <v>1.2310099999999999</v>
      </c>
      <c r="G59">
        <v>0.19464000000000001</v>
      </c>
      <c r="H59">
        <v>5.4859999999999998</v>
      </c>
      <c r="I59">
        <v>9.2979999999999993E-2</v>
      </c>
      <c r="J59">
        <v>1.47E-2</v>
      </c>
      <c r="K59">
        <v>3.4689999999999999</v>
      </c>
      <c r="L59">
        <v>0.16583999999999999</v>
      </c>
      <c r="M59">
        <v>2.622E-2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8.5139999999999993</v>
      </c>
      <c r="U59">
        <v>0.27056000000000002</v>
      </c>
      <c r="V59">
        <v>4.2779999999999999E-2</v>
      </c>
      <c r="W59">
        <v>6.875</v>
      </c>
      <c r="X59">
        <v>0.14324000000000001</v>
      </c>
      <c r="Y59">
        <v>2.265E-2</v>
      </c>
    </row>
    <row r="60" spans="1:25" x14ac:dyDescent="0.2">
      <c r="A60" t="s">
        <v>83</v>
      </c>
      <c r="B60">
        <v>7.15</v>
      </c>
      <c r="C60">
        <v>0.76961999999999997</v>
      </c>
      <c r="D60">
        <v>0.12169000000000001</v>
      </c>
      <c r="E60">
        <v>8.9499999999999993</v>
      </c>
      <c r="F60">
        <v>3.1128399999999998</v>
      </c>
      <c r="G60">
        <v>0.49218000000000001</v>
      </c>
      <c r="H60">
        <v>3.677</v>
      </c>
      <c r="I60">
        <v>0.11275</v>
      </c>
      <c r="J60">
        <v>1.7829999999999999E-2</v>
      </c>
      <c r="K60">
        <v>3.4529999999999998</v>
      </c>
      <c r="L60">
        <v>0.19450999999999999</v>
      </c>
      <c r="M60">
        <v>3.0759999999999999E-2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7.827</v>
      </c>
      <c r="U60">
        <v>0.35499999999999998</v>
      </c>
      <c r="V60">
        <v>5.6129999999999999E-2</v>
      </c>
      <c r="W60">
        <v>6.867</v>
      </c>
      <c r="X60">
        <v>0.15608</v>
      </c>
      <c r="Y60">
        <v>2.4680000000000001E-2</v>
      </c>
    </row>
    <row r="61" spans="1:25" x14ac:dyDescent="0.2">
      <c r="A61" t="s">
        <v>84</v>
      </c>
      <c r="B61">
        <v>7.2249999999999996</v>
      </c>
      <c r="C61">
        <v>1.49336</v>
      </c>
      <c r="D61">
        <v>0.23612</v>
      </c>
      <c r="E61">
        <v>7.125</v>
      </c>
      <c r="F61">
        <v>0.85297000000000001</v>
      </c>
      <c r="G61">
        <v>0.13486999999999999</v>
      </c>
      <c r="H61">
        <v>3.6360000000000001</v>
      </c>
      <c r="I61">
        <v>9.8659999999999998E-2</v>
      </c>
      <c r="J61">
        <v>1.5599999999999999E-2</v>
      </c>
      <c r="K61">
        <v>3.4860000000000002</v>
      </c>
      <c r="L61">
        <v>0.1431</v>
      </c>
      <c r="M61">
        <v>2.2630000000000001E-2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7.9870000000000001</v>
      </c>
      <c r="U61">
        <v>0.34532000000000002</v>
      </c>
      <c r="V61">
        <v>5.4600000000000003E-2</v>
      </c>
      <c r="W61">
        <v>6.843</v>
      </c>
      <c r="X61">
        <v>9.0499999999999997E-2</v>
      </c>
      <c r="Y61">
        <v>1.431E-2</v>
      </c>
    </row>
    <row r="62" spans="1:25" x14ac:dyDescent="0.2">
      <c r="A62" t="s">
        <v>85</v>
      </c>
      <c r="B62">
        <v>8.4459999999999997</v>
      </c>
      <c r="C62">
        <v>0.26876</v>
      </c>
      <c r="D62">
        <v>4.249E-2</v>
      </c>
      <c r="E62">
        <v>8.5350000000000001</v>
      </c>
      <c r="F62">
        <v>0.33276</v>
      </c>
      <c r="G62">
        <v>5.2609999999999997E-2</v>
      </c>
      <c r="H62">
        <v>5.52</v>
      </c>
      <c r="I62">
        <v>0.13472000000000001</v>
      </c>
      <c r="J62">
        <v>2.1299999999999999E-2</v>
      </c>
      <c r="K62">
        <v>5.4960000000000004</v>
      </c>
      <c r="L62">
        <v>0.10659</v>
      </c>
      <c r="M62">
        <v>1.685E-2</v>
      </c>
      <c r="N62">
        <v>13.396000000000001</v>
      </c>
      <c r="O62">
        <v>1.3455600000000001</v>
      </c>
      <c r="P62">
        <v>0.21274999999999999</v>
      </c>
      <c r="Q62">
        <v>13.324</v>
      </c>
      <c r="R62">
        <v>1.0573900000000001</v>
      </c>
      <c r="S62">
        <v>0.16719000000000001</v>
      </c>
      <c r="T62">
        <v>9.0920000000000005</v>
      </c>
      <c r="U62">
        <v>0.19499</v>
      </c>
      <c r="V62">
        <v>3.083E-2</v>
      </c>
      <c r="W62">
        <v>12.423999999999999</v>
      </c>
      <c r="X62">
        <v>6.0920000000000002E-2</v>
      </c>
      <c r="Y62">
        <v>9.6299999999999997E-3</v>
      </c>
    </row>
    <row r="63" spans="1:25" x14ac:dyDescent="0.2">
      <c r="A63" t="s">
        <v>86</v>
      </c>
      <c r="B63">
        <v>8.5419999999999998</v>
      </c>
      <c r="C63">
        <v>0.44252000000000002</v>
      </c>
      <c r="D63">
        <v>6.9970000000000004E-2</v>
      </c>
      <c r="E63">
        <v>8.407</v>
      </c>
      <c r="F63">
        <v>0.35408000000000001</v>
      </c>
      <c r="G63">
        <v>5.5980000000000002E-2</v>
      </c>
      <c r="H63">
        <v>18.914000000000001</v>
      </c>
      <c r="I63">
        <v>8.8080000000000006E-2</v>
      </c>
      <c r="J63">
        <v>1.393E-2</v>
      </c>
      <c r="K63">
        <v>8.2309999999999999</v>
      </c>
      <c r="L63">
        <v>6.6860000000000003E-2</v>
      </c>
      <c r="M63">
        <v>1.057E-2</v>
      </c>
      <c r="N63">
        <v>13.603999999999999</v>
      </c>
      <c r="O63">
        <v>1.17709</v>
      </c>
      <c r="P63">
        <v>0.18611</v>
      </c>
      <c r="Q63">
        <v>13.481999999999999</v>
      </c>
      <c r="R63">
        <v>1.3861399999999999</v>
      </c>
      <c r="S63">
        <v>0.21917</v>
      </c>
      <c r="T63">
        <v>14.579000000000001</v>
      </c>
      <c r="U63">
        <v>0.14127999999999999</v>
      </c>
      <c r="V63">
        <v>2.2339999999999999E-2</v>
      </c>
      <c r="W63">
        <v>10.707000000000001</v>
      </c>
      <c r="X63">
        <v>0.1124</v>
      </c>
      <c r="Y63">
        <v>1.7770000000000001E-2</v>
      </c>
    </row>
    <row r="64" spans="1:25" x14ac:dyDescent="0.2">
      <c r="A64" t="s">
        <v>87</v>
      </c>
      <c r="B64">
        <v>8.42</v>
      </c>
      <c r="C64">
        <v>0.18884000000000001</v>
      </c>
      <c r="D64">
        <v>2.9860000000000001E-2</v>
      </c>
      <c r="E64">
        <v>8.5109999999999992</v>
      </c>
      <c r="F64">
        <v>0.31541000000000002</v>
      </c>
      <c r="G64">
        <v>4.9869999999999998E-2</v>
      </c>
      <c r="H64">
        <v>5.4930000000000003</v>
      </c>
      <c r="I64">
        <v>0.1061</v>
      </c>
      <c r="J64">
        <v>1.678E-2</v>
      </c>
      <c r="K64">
        <v>5.5010000000000003</v>
      </c>
      <c r="L64">
        <v>0.11797000000000001</v>
      </c>
      <c r="M64">
        <v>1.865E-2</v>
      </c>
      <c r="N64">
        <v>16.076000000000001</v>
      </c>
      <c r="O64">
        <v>1.19693</v>
      </c>
      <c r="P64">
        <v>0.18925</v>
      </c>
      <c r="Q64">
        <v>16.504999999999999</v>
      </c>
      <c r="R64">
        <v>1.2905599999999999</v>
      </c>
      <c r="S64">
        <v>0.20405000000000001</v>
      </c>
      <c r="T64">
        <v>9.1210000000000004</v>
      </c>
      <c r="U64">
        <v>0.24932000000000001</v>
      </c>
      <c r="V64">
        <v>3.9419999999999997E-2</v>
      </c>
      <c r="W64">
        <v>11.927</v>
      </c>
      <c r="X64">
        <v>0.10204000000000001</v>
      </c>
      <c r="Y64">
        <v>1.6129999999999999E-2</v>
      </c>
    </row>
    <row r="65" spans="1:25" x14ac:dyDescent="0.2">
      <c r="A65" t="s">
        <v>88</v>
      </c>
      <c r="B65">
        <v>8.4209999999999994</v>
      </c>
      <c r="C65">
        <v>0.22386</v>
      </c>
      <c r="D65">
        <v>3.5400000000000001E-2</v>
      </c>
      <c r="E65">
        <v>8.609</v>
      </c>
      <c r="F65">
        <v>0.40865000000000001</v>
      </c>
      <c r="G65">
        <v>6.4610000000000001E-2</v>
      </c>
      <c r="H65">
        <v>5.46</v>
      </c>
      <c r="I65">
        <v>9.9220000000000003E-2</v>
      </c>
      <c r="J65">
        <v>1.5689999999999999E-2</v>
      </c>
      <c r="K65">
        <v>5.524</v>
      </c>
      <c r="L65">
        <v>0.14746999999999999</v>
      </c>
      <c r="M65">
        <v>2.332E-2</v>
      </c>
      <c r="N65">
        <v>16.960999999999999</v>
      </c>
      <c r="O65">
        <v>1.12165</v>
      </c>
      <c r="P65">
        <v>0.17735000000000001</v>
      </c>
      <c r="Q65">
        <v>16.859000000000002</v>
      </c>
      <c r="R65">
        <v>1.3006899999999999</v>
      </c>
      <c r="S65">
        <v>0.20566000000000001</v>
      </c>
      <c r="T65">
        <v>9.1769999999999996</v>
      </c>
      <c r="U65">
        <v>0.21163000000000001</v>
      </c>
      <c r="V65">
        <v>3.3459999999999997E-2</v>
      </c>
      <c r="W65">
        <v>11.981999999999999</v>
      </c>
      <c r="X65">
        <v>6.9120000000000001E-2</v>
      </c>
      <c r="Y65">
        <v>1.093E-2</v>
      </c>
    </row>
    <row r="66" spans="1:25" x14ac:dyDescent="0.2">
      <c r="A66" t="s">
        <v>89</v>
      </c>
      <c r="B66">
        <v>8.4710000000000001</v>
      </c>
      <c r="C66">
        <v>0.36281000000000002</v>
      </c>
      <c r="D66">
        <v>5.7369999999999997E-2</v>
      </c>
      <c r="E66">
        <v>8.5649999999999995</v>
      </c>
      <c r="F66">
        <v>0.45319999999999999</v>
      </c>
      <c r="G66">
        <v>7.1660000000000001E-2</v>
      </c>
      <c r="H66">
        <v>5.5</v>
      </c>
      <c r="I66">
        <v>0.13233</v>
      </c>
      <c r="J66">
        <v>2.0920000000000001E-2</v>
      </c>
      <c r="K66">
        <v>5.5030000000000001</v>
      </c>
      <c r="L66">
        <v>0.13150000000000001</v>
      </c>
      <c r="M66">
        <v>2.0789999999999999E-2</v>
      </c>
      <c r="N66">
        <v>17.064</v>
      </c>
      <c r="O66">
        <v>1.2815099999999999</v>
      </c>
      <c r="P66">
        <v>0.20261999999999999</v>
      </c>
      <c r="Q66">
        <v>16.606999999999999</v>
      </c>
      <c r="R66">
        <v>1.26702</v>
      </c>
      <c r="S66">
        <v>0.20033000000000001</v>
      </c>
      <c r="T66">
        <v>8.9149999999999991</v>
      </c>
      <c r="U66">
        <v>0.26425999999999999</v>
      </c>
      <c r="V66">
        <v>4.1779999999999998E-2</v>
      </c>
      <c r="W66">
        <v>11.959</v>
      </c>
      <c r="X66">
        <v>3.0710000000000001E-2</v>
      </c>
      <c r="Y66">
        <v>4.8599999999999997E-3</v>
      </c>
    </row>
    <row r="67" spans="1:25" x14ac:dyDescent="0.2">
      <c r="A67" t="s">
        <v>90</v>
      </c>
      <c r="B67">
        <v>8.3859999999999992</v>
      </c>
      <c r="C67">
        <v>0.21082999999999999</v>
      </c>
      <c r="D67">
        <v>3.3329999999999999E-2</v>
      </c>
      <c r="E67">
        <v>8.4770000000000003</v>
      </c>
      <c r="F67">
        <v>0.32258999999999999</v>
      </c>
      <c r="G67">
        <v>5.101E-2</v>
      </c>
      <c r="H67">
        <v>5.4939999999999998</v>
      </c>
      <c r="I67">
        <v>9.0990000000000001E-2</v>
      </c>
      <c r="J67">
        <v>1.439E-2</v>
      </c>
      <c r="K67">
        <v>5.52</v>
      </c>
      <c r="L67">
        <v>0.12537000000000001</v>
      </c>
      <c r="M67">
        <v>1.9820000000000001E-2</v>
      </c>
      <c r="N67">
        <v>16.989000000000001</v>
      </c>
      <c r="O67">
        <v>1.36992</v>
      </c>
      <c r="P67">
        <v>0.21659999999999999</v>
      </c>
      <c r="Q67">
        <v>16.818000000000001</v>
      </c>
      <c r="R67">
        <v>1.74864</v>
      </c>
      <c r="S67">
        <v>0.27648</v>
      </c>
      <c r="T67">
        <v>9.0890000000000004</v>
      </c>
      <c r="U67">
        <v>0.24943000000000001</v>
      </c>
      <c r="V67">
        <v>3.9440000000000003E-2</v>
      </c>
      <c r="W67">
        <v>11.977</v>
      </c>
      <c r="X67">
        <v>3.0360000000000002E-2</v>
      </c>
      <c r="Y67">
        <v>4.7999999999999996E-3</v>
      </c>
    </row>
    <row r="68" spans="1:25" x14ac:dyDescent="0.2">
      <c r="A68" t="s">
        <v>91</v>
      </c>
      <c r="B68">
        <v>7.35</v>
      </c>
      <c r="C68">
        <v>0.2671</v>
      </c>
      <c r="D68">
        <v>4.2229999999999997E-2</v>
      </c>
      <c r="E68">
        <v>6.9829999999999997</v>
      </c>
      <c r="F68">
        <v>0.46803</v>
      </c>
      <c r="G68">
        <v>7.3999999999999996E-2</v>
      </c>
      <c r="H68">
        <v>3.5590000000000002</v>
      </c>
      <c r="I68">
        <v>0.16553999999999999</v>
      </c>
      <c r="J68">
        <v>2.6169999999999999E-2</v>
      </c>
      <c r="K68">
        <v>3.476</v>
      </c>
      <c r="L68">
        <v>0.17513999999999999</v>
      </c>
      <c r="M68">
        <v>2.7689999999999999E-2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7.5110000000000001</v>
      </c>
      <c r="U68">
        <v>0.23516000000000001</v>
      </c>
      <c r="V68">
        <v>3.7179999999999998E-2</v>
      </c>
      <c r="W68">
        <v>6.883</v>
      </c>
      <c r="X68">
        <v>0.13142999999999999</v>
      </c>
      <c r="Y68">
        <v>2.078E-2</v>
      </c>
    </row>
    <row r="69" spans="1:25" x14ac:dyDescent="0.2">
      <c r="A69" t="s">
        <v>92</v>
      </c>
      <c r="B69">
        <v>7.4240000000000004</v>
      </c>
      <c r="C69">
        <v>0.55783000000000005</v>
      </c>
      <c r="D69">
        <v>8.8200000000000001E-2</v>
      </c>
      <c r="E69">
        <v>7.0060000000000002</v>
      </c>
      <c r="F69">
        <v>0.44951999999999998</v>
      </c>
      <c r="G69">
        <v>7.1080000000000004E-2</v>
      </c>
      <c r="H69">
        <v>3.5619999999999998</v>
      </c>
      <c r="I69">
        <v>0.18486</v>
      </c>
      <c r="J69">
        <v>2.9229999999999999E-2</v>
      </c>
      <c r="K69">
        <v>3.42</v>
      </c>
      <c r="L69">
        <v>0.22231000000000001</v>
      </c>
      <c r="M69">
        <v>3.5150000000000001E-2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7.431</v>
      </c>
      <c r="U69">
        <v>0.23708000000000001</v>
      </c>
      <c r="V69">
        <v>3.7490000000000002E-2</v>
      </c>
      <c r="W69">
        <v>6.8659999999999997</v>
      </c>
      <c r="X69">
        <v>0.11289</v>
      </c>
      <c r="Y69">
        <v>1.7850000000000001E-2</v>
      </c>
    </row>
    <row r="70" spans="1:25" x14ac:dyDescent="0.2">
      <c r="A70" t="s">
        <v>93</v>
      </c>
      <c r="B70">
        <v>7.2629999999999999</v>
      </c>
      <c r="C70">
        <v>0.24091000000000001</v>
      </c>
      <c r="D70">
        <v>3.8089999999999999E-2</v>
      </c>
      <c r="E70">
        <v>6.9489999999999998</v>
      </c>
      <c r="F70">
        <v>0.37980999999999998</v>
      </c>
      <c r="G70">
        <v>6.0049999999999999E-2</v>
      </c>
      <c r="H70">
        <v>3.5750000000000002</v>
      </c>
      <c r="I70">
        <v>0.18429999999999999</v>
      </c>
      <c r="J70">
        <v>2.9139999999999999E-2</v>
      </c>
      <c r="K70">
        <v>3.5750000000000002</v>
      </c>
      <c r="L70">
        <v>0.21418000000000001</v>
      </c>
      <c r="M70">
        <v>3.3860000000000001E-2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7.4969999999999999</v>
      </c>
      <c r="U70">
        <v>0.23183000000000001</v>
      </c>
      <c r="V70">
        <v>3.6659999999999998E-2</v>
      </c>
      <c r="W70">
        <v>6.8410000000000002</v>
      </c>
      <c r="X70">
        <v>0.11796</v>
      </c>
      <c r="Y70">
        <v>1.865E-2</v>
      </c>
    </row>
    <row r="71" spans="1:25" x14ac:dyDescent="0.2">
      <c r="A71" t="s">
        <v>94</v>
      </c>
      <c r="B71">
        <v>7.3170000000000002</v>
      </c>
      <c r="C71">
        <v>0.25574999999999998</v>
      </c>
      <c r="D71">
        <v>4.0439999999999997E-2</v>
      </c>
      <c r="E71">
        <v>7.0490000000000004</v>
      </c>
      <c r="F71">
        <v>0.45881</v>
      </c>
      <c r="G71">
        <v>7.2539999999999993E-2</v>
      </c>
      <c r="H71">
        <v>3.5390000000000001</v>
      </c>
      <c r="I71">
        <v>0.15595000000000001</v>
      </c>
      <c r="J71">
        <v>2.4660000000000001E-2</v>
      </c>
      <c r="K71">
        <v>3.492</v>
      </c>
      <c r="L71">
        <v>0.16766</v>
      </c>
      <c r="M71">
        <v>2.6509999999999999E-2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7.49</v>
      </c>
      <c r="U71">
        <v>0.25230999999999998</v>
      </c>
      <c r="V71">
        <v>3.9890000000000002E-2</v>
      </c>
      <c r="W71">
        <v>6.8780000000000001</v>
      </c>
      <c r="X71">
        <v>0.13441</v>
      </c>
      <c r="Y71">
        <v>2.1250000000000002E-2</v>
      </c>
    </row>
    <row r="72" spans="1:25" x14ac:dyDescent="0.2">
      <c r="A72" t="s">
        <v>95</v>
      </c>
      <c r="B72">
        <v>7.4859999999999998</v>
      </c>
      <c r="C72">
        <v>0.32862999999999998</v>
      </c>
      <c r="D72">
        <v>5.1959999999999999E-2</v>
      </c>
      <c r="E72">
        <v>6.9480000000000004</v>
      </c>
      <c r="F72">
        <v>0.44613999999999998</v>
      </c>
      <c r="G72">
        <v>7.0540000000000005E-2</v>
      </c>
      <c r="H72">
        <v>3.4860000000000002</v>
      </c>
      <c r="I72">
        <v>0.1701</v>
      </c>
      <c r="J72">
        <v>2.6890000000000001E-2</v>
      </c>
      <c r="K72">
        <v>3.4670000000000001</v>
      </c>
      <c r="L72">
        <v>0.21106</v>
      </c>
      <c r="M72">
        <v>3.3369999999999997E-2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7.46</v>
      </c>
      <c r="U72">
        <v>0.26085000000000003</v>
      </c>
      <c r="V72">
        <v>4.1239999999999999E-2</v>
      </c>
      <c r="W72">
        <v>6.835</v>
      </c>
      <c r="X72">
        <v>0.12207</v>
      </c>
      <c r="Y72">
        <v>1.9300000000000001E-2</v>
      </c>
    </row>
    <row r="73" spans="1:25" x14ac:dyDescent="0.2">
      <c r="A73" t="s">
        <v>96</v>
      </c>
      <c r="B73">
        <v>8.56</v>
      </c>
      <c r="C73">
        <v>0.27409</v>
      </c>
      <c r="D73">
        <v>4.3339999999999997E-2</v>
      </c>
      <c r="E73">
        <v>9.9320000000000004</v>
      </c>
      <c r="F73">
        <v>0.27672999999999998</v>
      </c>
      <c r="G73">
        <v>4.376E-2</v>
      </c>
      <c r="H73">
        <v>5.5129999999999999</v>
      </c>
      <c r="I73">
        <v>0.10836</v>
      </c>
      <c r="J73">
        <v>1.7129999999999999E-2</v>
      </c>
      <c r="K73">
        <v>3.5350000000000001</v>
      </c>
      <c r="L73">
        <v>0.17560999999999999</v>
      </c>
      <c r="M73">
        <v>2.777E-2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9.0060000000000002</v>
      </c>
      <c r="U73">
        <v>0.26857999999999999</v>
      </c>
      <c r="V73">
        <v>4.2470000000000001E-2</v>
      </c>
      <c r="W73">
        <v>11.977</v>
      </c>
      <c r="X73">
        <v>6.5129999999999993E-2</v>
      </c>
      <c r="Y73">
        <v>1.03E-2</v>
      </c>
    </row>
    <row r="74" spans="1:25" x14ac:dyDescent="0.2">
      <c r="A74" t="s">
        <v>97</v>
      </c>
      <c r="B74">
        <v>7.0369999999999999</v>
      </c>
      <c r="C74">
        <v>0.14960999999999999</v>
      </c>
      <c r="D74">
        <v>2.3650000000000001E-2</v>
      </c>
      <c r="E74">
        <v>7.1120000000000001</v>
      </c>
      <c r="F74">
        <v>0.23673</v>
      </c>
      <c r="G74">
        <v>3.7429999999999998E-2</v>
      </c>
      <c r="H74">
        <v>5.4020000000000001</v>
      </c>
      <c r="I74">
        <v>2.0760000000000001E-2</v>
      </c>
      <c r="J74">
        <v>3.2799999999999999E-3</v>
      </c>
      <c r="K74">
        <v>5.4029999999999996</v>
      </c>
      <c r="L74">
        <v>1.847E-2</v>
      </c>
      <c r="M74">
        <v>2.9199999999999999E-3</v>
      </c>
      <c r="N74">
        <v>12.18</v>
      </c>
      <c r="O74">
        <v>0.7591</v>
      </c>
      <c r="P74">
        <v>0.12002</v>
      </c>
      <c r="Q74">
        <v>12.356</v>
      </c>
      <c r="R74">
        <v>0.74239999999999995</v>
      </c>
      <c r="S74">
        <v>0.11738</v>
      </c>
      <c r="T74">
        <v>6.5410000000000004</v>
      </c>
      <c r="U74">
        <v>8.3690000000000001E-2</v>
      </c>
      <c r="V74">
        <v>1.323E-2</v>
      </c>
      <c r="W74">
        <v>6.577</v>
      </c>
      <c r="X74">
        <v>5.151E-2</v>
      </c>
      <c r="Y74">
        <v>8.1399999999999997E-3</v>
      </c>
    </row>
    <row r="75" spans="1:25" x14ac:dyDescent="0.2">
      <c r="A75" t="s">
        <v>98</v>
      </c>
      <c r="B75">
        <v>7.02</v>
      </c>
      <c r="C75">
        <v>0.16392999999999999</v>
      </c>
      <c r="D75">
        <v>2.5919999999999999E-2</v>
      </c>
      <c r="E75">
        <v>6.9450000000000003</v>
      </c>
      <c r="F75">
        <v>0.15970000000000001</v>
      </c>
      <c r="G75">
        <v>2.5250000000000002E-2</v>
      </c>
      <c r="H75">
        <v>5.431</v>
      </c>
      <c r="I75">
        <v>2.6429999999999999E-2</v>
      </c>
      <c r="J75">
        <v>4.1799999999999997E-3</v>
      </c>
      <c r="K75">
        <v>5.4009999999999998</v>
      </c>
      <c r="L75">
        <v>2.2880000000000001E-2</v>
      </c>
      <c r="M75">
        <v>3.62E-3</v>
      </c>
      <c r="N75">
        <v>12.202999999999999</v>
      </c>
      <c r="O75">
        <v>0.86719999999999997</v>
      </c>
      <c r="P75">
        <v>0.13711999999999999</v>
      </c>
      <c r="Q75">
        <v>12.53</v>
      </c>
      <c r="R75">
        <v>2.5947399999999998</v>
      </c>
      <c r="S75">
        <v>0.41026000000000001</v>
      </c>
      <c r="T75">
        <v>6.5289999999999999</v>
      </c>
      <c r="U75">
        <v>6.4810000000000006E-2</v>
      </c>
      <c r="V75">
        <v>1.025E-2</v>
      </c>
      <c r="W75">
        <v>6.5529999999999999</v>
      </c>
      <c r="X75">
        <v>4.2810000000000001E-2</v>
      </c>
      <c r="Y75">
        <v>6.77E-3</v>
      </c>
    </row>
    <row r="76" spans="1:25" x14ac:dyDescent="0.2">
      <c r="A76" t="s">
        <v>99</v>
      </c>
      <c r="B76">
        <v>7.3250000000000002</v>
      </c>
      <c r="C76">
        <v>2.0802800000000001</v>
      </c>
      <c r="D76">
        <v>0.32891999999999999</v>
      </c>
      <c r="E76">
        <v>4.0250000000000004</v>
      </c>
      <c r="F76">
        <v>1.1654800000000001</v>
      </c>
      <c r="G76">
        <v>0.18428</v>
      </c>
      <c r="H76">
        <v>5.4109999999999996</v>
      </c>
      <c r="I76">
        <v>3.304E-2</v>
      </c>
      <c r="J76">
        <v>5.2199999999999998E-3</v>
      </c>
      <c r="K76">
        <v>1.9870000000000001</v>
      </c>
      <c r="L76">
        <v>0.12889999999999999</v>
      </c>
      <c r="M76">
        <v>2.0379999999999999E-2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6.54</v>
      </c>
      <c r="U76">
        <v>7.1790000000000007E-2</v>
      </c>
      <c r="V76">
        <v>1.1350000000000001E-2</v>
      </c>
      <c r="W76">
        <v>4.5979999999999999</v>
      </c>
      <c r="X76">
        <v>5.6869999999999997E-2</v>
      </c>
      <c r="Y76">
        <v>8.9899999999999997E-3</v>
      </c>
    </row>
    <row r="77" spans="1:25" x14ac:dyDescent="0.2">
      <c r="A77" t="s">
        <v>100</v>
      </c>
      <c r="B77">
        <v>7.1</v>
      </c>
      <c r="C77">
        <v>0.84123999999999999</v>
      </c>
      <c r="D77">
        <v>0.13300999999999999</v>
      </c>
      <c r="E77">
        <v>4.3</v>
      </c>
      <c r="F77">
        <v>1.43581</v>
      </c>
      <c r="G77">
        <v>0.22702</v>
      </c>
      <c r="H77">
        <v>5.4139999999999997</v>
      </c>
      <c r="I77">
        <v>1.9099999999999999E-2</v>
      </c>
      <c r="J77">
        <v>3.0200000000000001E-3</v>
      </c>
      <c r="K77">
        <v>1.9330000000000001</v>
      </c>
      <c r="L77">
        <v>0.10846</v>
      </c>
      <c r="M77">
        <v>1.7149999999999999E-2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6.548</v>
      </c>
      <c r="U77">
        <v>6.5960000000000005E-2</v>
      </c>
      <c r="V77">
        <v>1.043E-2</v>
      </c>
      <c r="W77">
        <v>4.5960000000000001</v>
      </c>
      <c r="X77">
        <v>5.2260000000000001E-2</v>
      </c>
      <c r="Y77">
        <v>8.26E-3</v>
      </c>
    </row>
    <row r="78" spans="1:25" x14ac:dyDescent="0.2">
      <c r="A78" t="s">
        <v>101</v>
      </c>
      <c r="B78">
        <v>6.9889999999999999</v>
      </c>
      <c r="C78">
        <v>0.13671</v>
      </c>
      <c r="D78">
        <v>2.162E-2</v>
      </c>
      <c r="E78">
        <v>7.2789999999999999</v>
      </c>
      <c r="F78">
        <v>0.24149999999999999</v>
      </c>
      <c r="G78">
        <v>3.8179999999999999E-2</v>
      </c>
      <c r="H78">
        <v>32.311999999999998</v>
      </c>
      <c r="I78">
        <v>9.7409999999999997E-2</v>
      </c>
      <c r="J78">
        <v>1.54E-2</v>
      </c>
      <c r="K78">
        <v>26.966999999999999</v>
      </c>
      <c r="L78">
        <v>0.10363</v>
      </c>
      <c r="M78">
        <v>1.6389999999999998E-2</v>
      </c>
      <c r="N78">
        <v>12.528</v>
      </c>
      <c r="O78">
        <v>0.63627999999999996</v>
      </c>
      <c r="P78">
        <v>0.10061</v>
      </c>
      <c r="Q78">
        <v>11.802</v>
      </c>
      <c r="R78">
        <v>1.08466</v>
      </c>
      <c r="S78">
        <v>0.17150000000000001</v>
      </c>
      <c r="T78">
        <v>18.748000000000001</v>
      </c>
      <c r="U78">
        <v>0.10655000000000001</v>
      </c>
      <c r="V78">
        <v>1.685E-2</v>
      </c>
      <c r="W78">
        <v>18.710999999999999</v>
      </c>
      <c r="X78">
        <v>4.1020000000000001E-2</v>
      </c>
      <c r="Y78">
        <v>6.4900000000000001E-3</v>
      </c>
    </row>
    <row r="79" spans="1:25" x14ac:dyDescent="0.2">
      <c r="A79" t="s">
        <v>102</v>
      </c>
      <c r="B79">
        <v>6.9989999999999997</v>
      </c>
      <c r="C79">
        <v>0.11691</v>
      </c>
      <c r="D79">
        <v>1.8489999999999999E-2</v>
      </c>
      <c r="E79">
        <v>6.9909999999999997</v>
      </c>
      <c r="F79">
        <v>0.17297999999999999</v>
      </c>
      <c r="G79">
        <v>2.7349999999999999E-2</v>
      </c>
      <c r="H79">
        <v>18.855</v>
      </c>
      <c r="I79">
        <v>6.0789999999999997E-2</v>
      </c>
      <c r="J79">
        <v>9.6100000000000005E-3</v>
      </c>
      <c r="K79">
        <v>8.1129999999999995</v>
      </c>
      <c r="L79">
        <v>0.1065</v>
      </c>
      <c r="M79">
        <v>1.6840000000000001E-2</v>
      </c>
      <c r="N79">
        <v>12.221</v>
      </c>
      <c r="O79">
        <v>0.69159999999999999</v>
      </c>
      <c r="P79">
        <v>0.10935</v>
      </c>
      <c r="Q79">
        <v>10.807</v>
      </c>
      <c r="R79">
        <v>1.09711</v>
      </c>
      <c r="S79">
        <v>0.17347000000000001</v>
      </c>
      <c r="T79">
        <v>12.484999999999999</v>
      </c>
      <c r="U79">
        <v>0.16202</v>
      </c>
      <c r="V79">
        <v>2.562E-2</v>
      </c>
      <c r="W79">
        <v>9.5969999999999995</v>
      </c>
      <c r="X79">
        <v>7.5819999999999999E-2</v>
      </c>
      <c r="Y79">
        <v>1.1990000000000001E-2</v>
      </c>
    </row>
    <row r="80" spans="1:25" x14ac:dyDescent="0.2">
      <c r="A80" t="s">
        <v>103</v>
      </c>
      <c r="B80">
        <v>4.4729999999999999</v>
      </c>
      <c r="C80">
        <v>0.17274999999999999</v>
      </c>
      <c r="D80">
        <v>2.7310000000000001E-2</v>
      </c>
      <c r="E80">
        <v>4.0730000000000004</v>
      </c>
      <c r="F80">
        <v>0.29670000000000002</v>
      </c>
      <c r="G80">
        <v>4.691E-2</v>
      </c>
      <c r="H80">
        <v>1.9</v>
      </c>
      <c r="I80">
        <v>0.12055</v>
      </c>
      <c r="J80">
        <v>1.9060000000000001E-2</v>
      </c>
      <c r="K80">
        <v>1.8839999999999999</v>
      </c>
      <c r="L80">
        <v>0.14388000000000001</v>
      </c>
      <c r="M80">
        <v>2.2749999999999999E-2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5.4489999999999998</v>
      </c>
      <c r="U80">
        <v>0.21173</v>
      </c>
      <c r="V80">
        <v>3.3480000000000003E-2</v>
      </c>
      <c r="W80">
        <v>4.6479999999999997</v>
      </c>
      <c r="X80">
        <v>6.2449999999999999E-2</v>
      </c>
      <c r="Y80">
        <v>9.8700000000000003E-3</v>
      </c>
    </row>
    <row r="81" spans="1:25" x14ac:dyDescent="0.2">
      <c r="A81" t="s">
        <v>104</v>
      </c>
      <c r="B81">
        <v>4.3719999999999999</v>
      </c>
      <c r="C81">
        <v>0.18951999999999999</v>
      </c>
      <c r="D81">
        <v>2.997E-2</v>
      </c>
      <c r="E81">
        <v>4.1269999999999998</v>
      </c>
      <c r="F81">
        <v>0.32347999999999999</v>
      </c>
      <c r="G81">
        <v>5.1150000000000001E-2</v>
      </c>
      <c r="H81">
        <v>1.9370000000000001</v>
      </c>
      <c r="I81">
        <v>0.15568000000000001</v>
      </c>
      <c r="J81">
        <v>2.462E-2</v>
      </c>
      <c r="K81">
        <v>1.8480000000000001</v>
      </c>
      <c r="L81">
        <v>0.14011999999999999</v>
      </c>
      <c r="M81">
        <v>2.215E-2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5.4420000000000002</v>
      </c>
      <c r="U81">
        <v>0.20793</v>
      </c>
      <c r="V81">
        <v>3.288E-2</v>
      </c>
      <c r="W81">
        <v>4.649</v>
      </c>
      <c r="X81">
        <v>6.5250000000000002E-2</v>
      </c>
      <c r="Y81">
        <v>1.0319999999999999E-2</v>
      </c>
    </row>
    <row r="82" spans="1:25" x14ac:dyDescent="0.2">
      <c r="A82" t="s">
        <v>105</v>
      </c>
      <c r="B82">
        <v>6.976</v>
      </c>
      <c r="C82">
        <v>9.6710000000000004E-2</v>
      </c>
      <c r="D82">
        <v>1.529E-2</v>
      </c>
      <c r="E82">
        <v>6.9969999999999999</v>
      </c>
      <c r="F82">
        <v>0.16325000000000001</v>
      </c>
      <c r="G82">
        <v>2.581E-2</v>
      </c>
      <c r="H82">
        <v>5.4359999999999999</v>
      </c>
      <c r="I82">
        <v>3.9140000000000001E-2</v>
      </c>
      <c r="J82">
        <v>6.1900000000000002E-3</v>
      </c>
      <c r="K82">
        <v>5.4320000000000004</v>
      </c>
      <c r="L82">
        <v>2.9860000000000001E-2</v>
      </c>
      <c r="M82">
        <v>4.7200000000000002E-3</v>
      </c>
      <c r="N82">
        <v>12.194000000000001</v>
      </c>
      <c r="O82">
        <v>0.93135999999999997</v>
      </c>
      <c r="P82">
        <v>0.14726</v>
      </c>
      <c r="Q82">
        <v>11.163</v>
      </c>
      <c r="R82">
        <v>0.71360000000000001</v>
      </c>
      <c r="S82">
        <v>0.11283</v>
      </c>
      <c r="T82">
        <v>6.6139999999999999</v>
      </c>
      <c r="U82">
        <v>9.6310000000000007E-2</v>
      </c>
      <c r="V82">
        <v>1.523E-2</v>
      </c>
      <c r="W82">
        <v>6.5739999999999998</v>
      </c>
      <c r="X82">
        <v>5.0340000000000003E-2</v>
      </c>
      <c r="Y82">
        <v>7.9600000000000001E-3</v>
      </c>
    </row>
    <row r="83" spans="1:25" x14ac:dyDescent="0.2">
      <c r="A83" t="s">
        <v>106</v>
      </c>
      <c r="B83">
        <v>7.0049999999999999</v>
      </c>
      <c r="C83">
        <v>0.15079000000000001</v>
      </c>
      <c r="D83">
        <v>2.384E-2</v>
      </c>
      <c r="E83">
        <v>6.9429999999999996</v>
      </c>
      <c r="F83">
        <v>0.20191999999999999</v>
      </c>
      <c r="G83">
        <v>3.193E-2</v>
      </c>
      <c r="H83">
        <v>5.4240000000000004</v>
      </c>
      <c r="I83">
        <v>2.835E-2</v>
      </c>
      <c r="J83">
        <v>4.4799999999999996E-3</v>
      </c>
      <c r="K83">
        <v>5.4240000000000004</v>
      </c>
      <c r="L83">
        <v>2.962E-2</v>
      </c>
      <c r="M83">
        <v>4.6800000000000001E-3</v>
      </c>
      <c r="N83">
        <v>12.319000000000001</v>
      </c>
      <c r="O83">
        <v>0.78083999999999998</v>
      </c>
      <c r="P83">
        <v>0.12346</v>
      </c>
      <c r="Q83">
        <v>11.407999999999999</v>
      </c>
      <c r="R83">
        <v>0.79593999999999998</v>
      </c>
      <c r="S83">
        <v>0.12584999999999999</v>
      </c>
      <c r="T83">
        <v>6.5129999999999999</v>
      </c>
      <c r="U83">
        <v>5.459E-2</v>
      </c>
      <c r="V83">
        <v>8.6300000000000005E-3</v>
      </c>
      <c r="W83">
        <v>6.5389999999999997</v>
      </c>
      <c r="X83">
        <v>4.1110000000000001E-2</v>
      </c>
      <c r="Y83">
        <v>6.4999999999999997E-3</v>
      </c>
    </row>
    <row r="84" spans="1:25" x14ac:dyDescent="0.2">
      <c r="A84" t="s">
        <v>107</v>
      </c>
      <c r="B84">
        <v>6.85</v>
      </c>
      <c r="C84">
        <v>0.66215999999999997</v>
      </c>
      <c r="D84">
        <v>0.1047</v>
      </c>
      <c r="E84">
        <v>3.85</v>
      </c>
      <c r="F84">
        <v>1.05125</v>
      </c>
      <c r="G84">
        <v>0.16622000000000001</v>
      </c>
      <c r="H84">
        <v>5.4080000000000004</v>
      </c>
      <c r="I84">
        <v>3.4229999999999997E-2</v>
      </c>
      <c r="J84">
        <v>5.4099999999999999E-3</v>
      </c>
      <c r="K84">
        <v>2.0030000000000001</v>
      </c>
      <c r="L84">
        <v>7.0680000000000007E-2</v>
      </c>
      <c r="M84">
        <v>1.1180000000000001E-2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6.5730000000000004</v>
      </c>
      <c r="U84">
        <v>0.11157</v>
      </c>
      <c r="V84">
        <v>1.7639999999999999E-2</v>
      </c>
      <c r="W84">
        <v>4.6020000000000003</v>
      </c>
      <c r="X84">
        <v>5.1729999999999998E-2</v>
      </c>
      <c r="Y84">
        <v>8.1799999999999998E-3</v>
      </c>
    </row>
    <row r="85" spans="1:25" x14ac:dyDescent="0.2">
      <c r="A85" t="s">
        <v>108</v>
      </c>
      <c r="B85">
        <v>7</v>
      </c>
      <c r="C85">
        <v>1.13228</v>
      </c>
      <c r="D85">
        <v>0.17902999999999999</v>
      </c>
      <c r="E85">
        <v>3.9</v>
      </c>
      <c r="F85">
        <v>0.87119000000000002</v>
      </c>
      <c r="G85">
        <v>0.13775000000000001</v>
      </c>
      <c r="H85">
        <v>5.4089999999999998</v>
      </c>
      <c r="I85">
        <v>2.6169999999999999E-2</v>
      </c>
      <c r="J85">
        <v>4.1399999999999996E-3</v>
      </c>
      <c r="K85">
        <v>1.9870000000000001</v>
      </c>
      <c r="L85">
        <v>0.10933</v>
      </c>
      <c r="M85">
        <v>1.729E-2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6.625</v>
      </c>
      <c r="U85">
        <v>0.17068</v>
      </c>
      <c r="V85">
        <v>2.699E-2</v>
      </c>
      <c r="W85">
        <v>4.601</v>
      </c>
      <c r="X85">
        <v>5.3420000000000002E-2</v>
      </c>
      <c r="Y85">
        <v>8.4499999999999992E-3</v>
      </c>
    </row>
    <row r="86" spans="1:25" x14ac:dyDescent="0.2">
      <c r="A86" t="s">
        <v>109</v>
      </c>
      <c r="B86">
        <v>7.1040000000000001</v>
      </c>
      <c r="C86">
        <v>0.24468000000000001</v>
      </c>
      <c r="D86">
        <v>3.8690000000000002E-2</v>
      </c>
      <c r="E86">
        <v>7.2480000000000002</v>
      </c>
      <c r="F86">
        <v>0.23235</v>
      </c>
      <c r="G86">
        <v>3.6740000000000002E-2</v>
      </c>
      <c r="H86">
        <v>32.521999999999998</v>
      </c>
      <c r="I86">
        <v>0.16256000000000001</v>
      </c>
      <c r="J86">
        <v>2.5700000000000001E-2</v>
      </c>
      <c r="K86">
        <v>26.975999999999999</v>
      </c>
      <c r="L86">
        <v>9.6420000000000006E-2</v>
      </c>
      <c r="M86">
        <v>1.525E-2</v>
      </c>
      <c r="N86">
        <v>12.673999999999999</v>
      </c>
      <c r="O86">
        <v>0.81249000000000005</v>
      </c>
      <c r="P86">
        <v>0.12847</v>
      </c>
      <c r="Q86">
        <v>11.153</v>
      </c>
      <c r="R86">
        <v>0.77281999999999995</v>
      </c>
      <c r="S86">
        <v>0.12218999999999999</v>
      </c>
      <c r="T86">
        <v>18.952999999999999</v>
      </c>
      <c r="U86">
        <v>0.28650999999999999</v>
      </c>
      <c r="V86">
        <v>4.53E-2</v>
      </c>
      <c r="W86">
        <v>18.722000000000001</v>
      </c>
      <c r="X86">
        <v>4.095E-2</v>
      </c>
      <c r="Y86">
        <v>6.4700000000000001E-3</v>
      </c>
    </row>
    <row r="87" spans="1:25" x14ac:dyDescent="0.2">
      <c r="A87" t="s">
        <v>110</v>
      </c>
      <c r="B87">
        <v>7.0810000000000004</v>
      </c>
      <c r="C87">
        <v>0.22588</v>
      </c>
      <c r="D87">
        <v>3.5709999999999999E-2</v>
      </c>
      <c r="E87">
        <v>7.0389999999999997</v>
      </c>
      <c r="F87">
        <v>0.23069999999999999</v>
      </c>
      <c r="G87">
        <v>3.6479999999999999E-2</v>
      </c>
      <c r="H87">
        <v>18.863</v>
      </c>
      <c r="I87">
        <v>5.0180000000000002E-2</v>
      </c>
      <c r="J87">
        <v>7.9299999999999995E-3</v>
      </c>
      <c r="K87">
        <v>8.0909999999999993</v>
      </c>
      <c r="L87">
        <v>2.964E-2</v>
      </c>
      <c r="M87">
        <v>4.6899999999999997E-3</v>
      </c>
      <c r="N87">
        <v>12.795</v>
      </c>
      <c r="O87">
        <v>0.73043000000000002</v>
      </c>
      <c r="P87">
        <v>0.11549</v>
      </c>
      <c r="Q87">
        <v>11.103999999999999</v>
      </c>
      <c r="R87">
        <v>0.71487999999999996</v>
      </c>
      <c r="S87">
        <v>0.11303000000000001</v>
      </c>
      <c r="T87">
        <v>12.614000000000001</v>
      </c>
      <c r="U87">
        <v>0.21818000000000001</v>
      </c>
      <c r="V87">
        <v>3.4500000000000003E-2</v>
      </c>
      <c r="W87">
        <v>9.6059999999999999</v>
      </c>
      <c r="X87">
        <v>6.3159999999999994E-2</v>
      </c>
      <c r="Y87">
        <v>9.9900000000000006E-3</v>
      </c>
    </row>
    <row r="88" spans="1:25" x14ac:dyDescent="0.2">
      <c r="A88" t="s">
        <v>111</v>
      </c>
      <c r="B88">
        <v>4.8540000000000001</v>
      </c>
      <c r="C88">
        <v>0.63688999999999996</v>
      </c>
      <c r="D88">
        <v>0.1007</v>
      </c>
      <c r="E88">
        <v>4.1669999999999998</v>
      </c>
      <c r="F88">
        <v>0.34379999999999999</v>
      </c>
      <c r="G88">
        <v>5.4359999999999999E-2</v>
      </c>
      <c r="H88">
        <v>1.925</v>
      </c>
      <c r="I88">
        <v>0.14218</v>
      </c>
      <c r="J88">
        <v>2.248E-2</v>
      </c>
      <c r="K88">
        <v>1.8620000000000001</v>
      </c>
      <c r="L88">
        <v>0.13259000000000001</v>
      </c>
      <c r="M88">
        <v>2.0959999999999999E-2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5.4859999999999998</v>
      </c>
      <c r="U88">
        <v>0.27350999999999998</v>
      </c>
      <c r="V88">
        <v>4.3249999999999997E-2</v>
      </c>
      <c r="W88">
        <v>4.6360000000000001</v>
      </c>
      <c r="X88">
        <v>6.2509999999999996E-2</v>
      </c>
      <c r="Y88">
        <v>9.8799999999999999E-3</v>
      </c>
    </row>
    <row r="89" spans="1:25" x14ac:dyDescent="0.2">
      <c r="A89" t="s">
        <v>112</v>
      </c>
      <c r="B89">
        <v>4.7110000000000003</v>
      </c>
      <c r="C89">
        <v>0.52749999999999997</v>
      </c>
      <c r="D89">
        <v>8.3409999999999998E-2</v>
      </c>
      <c r="E89">
        <v>4.1829999999999998</v>
      </c>
      <c r="F89">
        <v>0.30476999999999999</v>
      </c>
      <c r="G89">
        <v>4.8189999999999997E-2</v>
      </c>
      <c r="H89">
        <v>1.907</v>
      </c>
      <c r="I89">
        <v>0.13664999999999999</v>
      </c>
      <c r="J89">
        <v>2.1610000000000001E-2</v>
      </c>
      <c r="K89">
        <v>1.903</v>
      </c>
      <c r="L89">
        <v>0.13192999999999999</v>
      </c>
      <c r="M89">
        <v>2.086E-2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5.4710000000000001</v>
      </c>
      <c r="U89">
        <v>0.25074000000000002</v>
      </c>
      <c r="V89">
        <v>3.9640000000000002E-2</v>
      </c>
      <c r="W89">
        <v>4.6379999999999999</v>
      </c>
      <c r="X89">
        <v>5.7750000000000003E-2</v>
      </c>
      <c r="Y89">
        <v>9.1299999999999992E-3</v>
      </c>
    </row>
    <row r="90" spans="1:25" x14ac:dyDescent="0.2">
      <c r="A90" t="s">
        <v>113</v>
      </c>
      <c r="B90">
        <v>7.1879999999999997</v>
      </c>
      <c r="C90">
        <v>0.41427999999999998</v>
      </c>
      <c r="D90">
        <v>6.5500000000000003E-2</v>
      </c>
      <c r="E90">
        <v>7.07</v>
      </c>
      <c r="F90">
        <v>0.21904000000000001</v>
      </c>
      <c r="G90">
        <v>3.4630000000000001E-2</v>
      </c>
      <c r="H90">
        <v>5.431</v>
      </c>
      <c r="I90">
        <v>2.928E-2</v>
      </c>
      <c r="J90">
        <v>4.6299999999999996E-3</v>
      </c>
      <c r="K90">
        <v>5.4020000000000001</v>
      </c>
      <c r="L90">
        <v>1.593E-2</v>
      </c>
      <c r="M90">
        <v>2.5200000000000001E-3</v>
      </c>
      <c r="N90">
        <v>12.013</v>
      </c>
      <c r="O90">
        <v>0.62831000000000004</v>
      </c>
      <c r="P90">
        <v>9.9339999999999998E-2</v>
      </c>
      <c r="Q90">
        <v>11.055999999999999</v>
      </c>
      <c r="R90">
        <v>0.90298</v>
      </c>
      <c r="S90">
        <v>0.14277000000000001</v>
      </c>
      <c r="T90">
        <v>6.5670000000000002</v>
      </c>
      <c r="U90">
        <v>4.4269999999999997E-2</v>
      </c>
      <c r="V90">
        <v>7.0000000000000001E-3</v>
      </c>
      <c r="W90">
        <v>6.57</v>
      </c>
      <c r="X90">
        <v>5.1360000000000003E-2</v>
      </c>
      <c r="Y90">
        <v>8.1200000000000005E-3</v>
      </c>
    </row>
    <row r="91" spans="1:25" x14ac:dyDescent="0.2">
      <c r="A91" t="s">
        <v>114</v>
      </c>
      <c r="B91">
        <v>7.1520000000000001</v>
      </c>
      <c r="C91">
        <v>0.37870999999999999</v>
      </c>
      <c r="D91">
        <v>5.9880000000000003E-2</v>
      </c>
      <c r="E91">
        <v>6.9390000000000001</v>
      </c>
      <c r="F91">
        <v>0.16857</v>
      </c>
      <c r="G91">
        <v>2.665E-2</v>
      </c>
      <c r="H91">
        <v>5.4139999999999997</v>
      </c>
      <c r="I91">
        <v>2.3789999999999999E-2</v>
      </c>
      <c r="J91">
        <v>3.7599999999999999E-3</v>
      </c>
      <c r="K91">
        <v>5.3959999999999999</v>
      </c>
      <c r="L91">
        <v>1.8870000000000001E-2</v>
      </c>
      <c r="M91">
        <v>2.98E-3</v>
      </c>
      <c r="N91">
        <v>12.081</v>
      </c>
      <c r="O91">
        <v>0.57694999999999996</v>
      </c>
      <c r="P91">
        <v>9.1219999999999996E-2</v>
      </c>
      <c r="Q91">
        <v>11.189</v>
      </c>
      <c r="R91">
        <v>0.76597000000000004</v>
      </c>
      <c r="S91">
        <v>0.12111</v>
      </c>
      <c r="T91">
        <v>6.5449999999999999</v>
      </c>
      <c r="U91">
        <v>4.7329999999999997E-2</v>
      </c>
      <c r="V91">
        <v>7.4799999999999997E-3</v>
      </c>
      <c r="W91">
        <v>6.55</v>
      </c>
      <c r="X91">
        <v>4.1799999999999997E-2</v>
      </c>
      <c r="Y91">
        <v>6.6100000000000004E-3</v>
      </c>
    </row>
    <row r="92" spans="1:25" x14ac:dyDescent="0.2">
      <c r="A92" t="s">
        <v>115</v>
      </c>
      <c r="B92">
        <v>6.5</v>
      </c>
      <c r="C92">
        <v>1.2195</v>
      </c>
      <c r="D92">
        <v>0.19281999999999999</v>
      </c>
      <c r="E92">
        <v>3.9249999999999998</v>
      </c>
      <c r="F92">
        <v>0.97106000000000003</v>
      </c>
      <c r="G92">
        <v>0.15354000000000001</v>
      </c>
      <c r="H92">
        <v>5.4109999999999996</v>
      </c>
      <c r="I92">
        <v>2.9579999999999999E-2</v>
      </c>
      <c r="J92">
        <v>4.6800000000000001E-3</v>
      </c>
      <c r="K92">
        <v>1.982</v>
      </c>
      <c r="L92">
        <v>0.10288</v>
      </c>
      <c r="M92">
        <v>1.627E-2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6.5259999999999998</v>
      </c>
      <c r="U92">
        <v>4.6469999999999997E-2</v>
      </c>
      <c r="V92">
        <v>7.3499999999999998E-3</v>
      </c>
      <c r="W92">
        <v>4.6230000000000002</v>
      </c>
      <c r="X92">
        <v>5.9040000000000002E-2</v>
      </c>
      <c r="Y92">
        <v>9.3399999999999993E-3</v>
      </c>
    </row>
    <row r="93" spans="1:25" x14ac:dyDescent="0.2">
      <c r="A93" t="s">
        <v>116</v>
      </c>
      <c r="B93">
        <v>5.9749999999999996</v>
      </c>
      <c r="C93">
        <v>1.8465100000000001</v>
      </c>
      <c r="D93">
        <v>0.29196</v>
      </c>
      <c r="E93">
        <v>4.45</v>
      </c>
      <c r="F93">
        <v>1.8109299999999999</v>
      </c>
      <c r="G93">
        <v>0.28632999999999997</v>
      </c>
      <c r="H93">
        <v>5.4089999999999998</v>
      </c>
      <c r="I93">
        <v>2.1690000000000001E-2</v>
      </c>
      <c r="J93">
        <v>3.4299999999999999E-3</v>
      </c>
      <c r="K93">
        <v>1.9990000000000001</v>
      </c>
      <c r="L93">
        <v>7.9890000000000003E-2</v>
      </c>
      <c r="M93">
        <v>1.2630000000000001E-2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6.5389999999999997</v>
      </c>
      <c r="U93">
        <v>4.8869999999999997E-2</v>
      </c>
      <c r="V93">
        <v>7.7299999999999999E-3</v>
      </c>
      <c r="W93">
        <v>4.58</v>
      </c>
      <c r="X93">
        <v>5.4010000000000002E-2</v>
      </c>
      <c r="Y93">
        <v>8.5400000000000007E-3</v>
      </c>
    </row>
    <row r="94" spans="1:25" x14ac:dyDescent="0.2">
      <c r="A94" t="s">
        <v>117</v>
      </c>
      <c r="B94">
        <v>7.29</v>
      </c>
      <c r="C94">
        <v>0.31143999999999999</v>
      </c>
      <c r="D94">
        <v>4.9239999999999999E-2</v>
      </c>
      <c r="E94">
        <v>7.2949999999999999</v>
      </c>
      <c r="F94">
        <v>0.24725</v>
      </c>
      <c r="G94">
        <v>3.909E-2</v>
      </c>
      <c r="H94">
        <v>32.311999999999998</v>
      </c>
      <c r="I94">
        <v>6.4380000000000007E-2</v>
      </c>
      <c r="J94">
        <v>1.018E-2</v>
      </c>
      <c r="K94">
        <v>26.922999999999998</v>
      </c>
      <c r="L94">
        <v>6.4680000000000001E-2</v>
      </c>
      <c r="M94">
        <v>1.023E-2</v>
      </c>
      <c r="N94">
        <v>12.558999999999999</v>
      </c>
      <c r="O94">
        <v>0.64178000000000002</v>
      </c>
      <c r="P94">
        <v>0.10147</v>
      </c>
      <c r="Q94">
        <v>11.326000000000001</v>
      </c>
      <c r="R94">
        <v>0.82867000000000002</v>
      </c>
      <c r="S94">
        <v>0.13102</v>
      </c>
      <c r="T94">
        <v>18.78</v>
      </c>
      <c r="U94">
        <v>9.3649999999999997E-2</v>
      </c>
      <c r="V94">
        <v>1.481E-2</v>
      </c>
      <c r="W94">
        <v>18.716000000000001</v>
      </c>
      <c r="X94">
        <v>3.4200000000000001E-2</v>
      </c>
      <c r="Y94">
        <v>5.4099999999999999E-3</v>
      </c>
    </row>
    <row r="95" spans="1:25" x14ac:dyDescent="0.2">
      <c r="A95" t="s">
        <v>118</v>
      </c>
      <c r="B95">
        <v>7.1879999999999997</v>
      </c>
      <c r="C95">
        <v>0.25219999999999998</v>
      </c>
      <c r="D95">
        <v>3.9879999999999999E-2</v>
      </c>
      <c r="E95">
        <v>7.0119999999999996</v>
      </c>
      <c r="F95">
        <v>0.19275999999999999</v>
      </c>
      <c r="G95">
        <v>3.048E-2</v>
      </c>
      <c r="H95">
        <v>18.867000000000001</v>
      </c>
      <c r="I95">
        <v>8.5169999999999996E-2</v>
      </c>
      <c r="J95">
        <v>1.3469999999999999E-2</v>
      </c>
      <c r="K95">
        <v>8.0839999999999996</v>
      </c>
      <c r="L95">
        <v>1.396E-2</v>
      </c>
      <c r="M95">
        <v>2.2100000000000002E-3</v>
      </c>
      <c r="N95">
        <v>12.488</v>
      </c>
      <c r="O95">
        <v>0.66059999999999997</v>
      </c>
      <c r="P95">
        <v>0.10445</v>
      </c>
      <c r="Q95">
        <v>11.988</v>
      </c>
      <c r="R95">
        <v>0.86763999999999997</v>
      </c>
      <c r="S95">
        <v>0.13719000000000001</v>
      </c>
      <c r="T95">
        <v>12.465</v>
      </c>
      <c r="U95">
        <v>7.8640000000000002E-2</v>
      </c>
      <c r="V95">
        <v>1.243E-2</v>
      </c>
      <c r="W95">
        <v>9.6170000000000009</v>
      </c>
      <c r="X95">
        <v>4.6249999999999999E-2</v>
      </c>
      <c r="Y95">
        <v>7.3099999999999997E-3</v>
      </c>
    </row>
    <row r="96" spans="1:25" x14ac:dyDescent="0.2">
      <c r="A96" t="s">
        <v>119</v>
      </c>
      <c r="B96">
        <v>4.7409999999999997</v>
      </c>
      <c r="C96">
        <v>0.53839000000000004</v>
      </c>
      <c r="D96">
        <v>8.5129999999999997E-2</v>
      </c>
      <c r="E96">
        <v>4.1589999999999998</v>
      </c>
      <c r="F96">
        <v>0.29491000000000001</v>
      </c>
      <c r="G96">
        <v>4.6629999999999998E-2</v>
      </c>
      <c r="H96">
        <v>1.901</v>
      </c>
      <c r="I96">
        <v>0.10106</v>
      </c>
      <c r="J96">
        <v>1.5980000000000001E-2</v>
      </c>
      <c r="K96">
        <v>1.877</v>
      </c>
      <c r="L96">
        <v>0.15656</v>
      </c>
      <c r="M96">
        <v>2.4750000000000001E-2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5.3250000000000002</v>
      </c>
      <c r="U96">
        <v>0.22961999999999999</v>
      </c>
      <c r="V96">
        <v>3.6310000000000002E-2</v>
      </c>
      <c r="W96">
        <v>4.6390000000000002</v>
      </c>
      <c r="X96">
        <v>5.3190000000000001E-2</v>
      </c>
      <c r="Y96">
        <v>8.4100000000000008E-3</v>
      </c>
    </row>
    <row r="97" spans="1:25" x14ac:dyDescent="0.2">
      <c r="A97" t="s">
        <v>120</v>
      </c>
      <c r="B97">
        <v>4.6420000000000003</v>
      </c>
      <c r="C97">
        <v>0.48000999999999999</v>
      </c>
      <c r="D97">
        <v>7.5899999999999995E-2</v>
      </c>
      <c r="E97">
        <v>4.1079999999999997</v>
      </c>
      <c r="F97">
        <v>0.33788000000000001</v>
      </c>
      <c r="G97">
        <v>5.3420000000000002E-2</v>
      </c>
      <c r="H97">
        <v>1.8979999999999999</v>
      </c>
      <c r="I97">
        <v>0.12489</v>
      </c>
      <c r="J97">
        <v>1.975E-2</v>
      </c>
      <c r="K97">
        <v>1.877</v>
      </c>
      <c r="L97">
        <v>0.16195000000000001</v>
      </c>
      <c r="M97">
        <v>2.5610000000000001E-2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5.3390000000000004</v>
      </c>
      <c r="U97">
        <v>0.20594000000000001</v>
      </c>
      <c r="V97">
        <v>3.2559999999999999E-2</v>
      </c>
      <c r="W97">
        <v>4.6550000000000002</v>
      </c>
      <c r="X97">
        <v>7.886E-2</v>
      </c>
      <c r="Y97">
        <v>1.247E-2</v>
      </c>
    </row>
    <row r="98" spans="1:25" x14ac:dyDescent="0.2">
      <c r="A98" t="s">
        <v>121</v>
      </c>
      <c r="B98">
        <v>7.149</v>
      </c>
      <c r="C98">
        <v>0.30118</v>
      </c>
      <c r="D98">
        <v>4.7620000000000003E-2</v>
      </c>
      <c r="E98">
        <v>7.0750000000000002</v>
      </c>
      <c r="F98">
        <v>0.27515000000000001</v>
      </c>
      <c r="G98">
        <v>4.351E-2</v>
      </c>
      <c r="H98">
        <v>5.4080000000000004</v>
      </c>
      <c r="I98">
        <v>2.0840000000000001E-2</v>
      </c>
      <c r="J98">
        <v>3.29E-3</v>
      </c>
      <c r="K98">
        <v>5.4089999999999998</v>
      </c>
      <c r="L98">
        <v>1.7940000000000001E-2</v>
      </c>
      <c r="M98">
        <v>2.8400000000000001E-3</v>
      </c>
      <c r="N98">
        <v>12.074999999999999</v>
      </c>
      <c r="O98">
        <v>0.52171000000000001</v>
      </c>
      <c r="P98">
        <v>8.2489999999999994E-2</v>
      </c>
      <c r="Q98">
        <v>12.365</v>
      </c>
      <c r="R98">
        <v>1.5661700000000001</v>
      </c>
      <c r="S98">
        <v>0.24762999999999999</v>
      </c>
      <c r="T98">
        <v>6.5990000000000002</v>
      </c>
      <c r="U98">
        <v>5.9479999999999998E-2</v>
      </c>
      <c r="V98">
        <v>9.41E-3</v>
      </c>
      <c r="W98">
        <v>6.5670000000000002</v>
      </c>
      <c r="X98">
        <v>5.2560000000000003E-2</v>
      </c>
      <c r="Y98">
        <v>8.3099999999999997E-3</v>
      </c>
    </row>
    <row r="99" spans="1:25" x14ac:dyDescent="0.2">
      <c r="A99" t="s">
        <v>122</v>
      </c>
      <c r="B99">
        <v>7.2030000000000003</v>
      </c>
      <c r="C99">
        <v>0.23727000000000001</v>
      </c>
      <c r="D99">
        <v>3.7519999999999998E-2</v>
      </c>
      <c r="E99">
        <v>6.9779999999999998</v>
      </c>
      <c r="F99">
        <v>0.18922</v>
      </c>
      <c r="G99">
        <v>2.9919999999999999E-2</v>
      </c>
      <c r="H99">
        <v>5.4349999999999996</v>
      </c>
      <c r="I99">
        <v>3.211E-2</v>
      </c>
      <c r="J99">
        <v>5.0800000000000003E-3</v>
      </c>
      <c r="K99">
        <v>5.4290000000000003</v>
      </c>
      <c r="L99">
        <v>3.7699999999999997E-2</v>
      </c>
      <c r="M99">
        <v>5.96E-3</v>
      </c>
      <c r="N99">
        <v>12.215</v>
      </c>
      <c r="O99">
        <v>0.56203999999999998</v>
      </c>
      <c r="P99">
        <v>8.8870000000000005E-2</v>
      </c>
      <c r="Q99">
        <v>12.209</v>
      </c>
      <c r="R99">
        <v>0.56623000000000001</v>
      </c>
      <c r="S99">
        <v>8.9529999999999998E-2</v>
      </c>
      <c r="T99">
        <v>6.5410000000000004</v>
      </c>
      <c r="U99">
        <v>4.2569999999999997E-2</v>
      </c>
      <c r="V99">
        <v>6.7299999999999999E-3</v>
      </c>
      <c r="W99">
        <v>6.5469999999999997</v>
      </c>
      <c r="X99">
        <v>3.9559999999999998E-2</v>
      </c>
      <c r="Y99">
        <v>6.2500000000000003E-3</v>
      </c>
    </row>
    <row r="100" spans="1:25" x14ac:dyDescent="0.2">
      <c r="A100" t="s">
        <v>123</v>
      </c>
      <c r="B100">
        <v>6.05</v>
      </c>
      <c r="C100">
        <v>2.3199299999999998</v>
      </c>
      <c r="D100">
        <v>0.36681000000000002</v>
      </c>
      <c r="E100">
        <v>4.4000000000000004</v>
      </c>
      <c r="F100">
        <v>1.78023</v>
      </c>
      <c r="G100">
        <v>0.28148000000000001</v>
      </c>
      <c r="H100">
        <v>5.399</v>
      </c>
      <c r="I100">
        <v>1.6750000000000001E-2</v>
      </c>
      <c r="J100">
        <v>2.65E-3</v>
      </c>
      <c r="K100">
        <v>1.998</v>
      </c>
      <c r="L100">
        <v>0.11995</v>
      </c>
      <c r="M100">
        <v>1.8970000000000001E-2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6.5439999999999996</v>
      </c>
      <c r="U100">
        <v>5.8639999999999998E-2</v>
      </c>
      <c r="V100">
        <v>9.2700000000000005E-3</v>
      </c>
      <c r="W100">
        <v>4.6029999999999998</v>
      </c>
      <c r="X100">
        <v>4.9299999999999997E-2</v>
      </c>
      <c r="Y100">
        <v>7.7999999999999996E-3</v>
      </c>
    </row>
    <row r="101" spans="1:25" x14ac:dyDescent="0.2">
      <c r="A101" t="s">
        <v>124</v>
      </c>
      <c r="B101">
        <v>6.4</v>
      </c>
      <c r="C101">
        <v>1.8508500000000001</v>
      </c>
      <c r="D101">
        <v>0.29264000000000001</v>
      </c>
      <c r="E101">
        <v>4.1749999999999998</v>
      </c>
      <c r="F101">
        <v>0.59431</v>
      </c>
      <c r="G101">
        <v>9.3969999999999998E-2</v>
      </c>
      <c r="H101">
        <v>5.4119999999999999</v>
      </c>
      <c r="I101">
        <v>2.4629999999999999E-2</v>
      </c>
      <c r="J101">
        <v>3.8899999999999998E-3</v>
      </c>
      <c r="K101">
        <v>1.956</v>
      </c>
      <c r="L101">
        <v>0.10997999999999999</v>
      </c>
      <c r="M101">
        <v>1.7389999999999999E-2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6.5609999999999999</v>
      </c>
      <c r="U101">
        <v>6.6629999999999995E-2</v>
      </c>
      <c r="V101">
        <v>1.0540000000000001E-2</v>
      </c>
      <c r="W101">
        <v>4.5999999999999996</v>
      </c>
      <c r="X101">
        <v>4.9160000000000002E-2</v>
      </c>
      <c r="Y101">
        <v>7.77E-3</v>
      </c>
    </row>
    <row r="102" spans="1:25" x14ac:dyDescent="0.2">
      <c r="A102" t="s">
        <v>125</v>
      </c>
      <c r="B102">
        <v>7.1029999999999998</v>
      </c>
      <c r="C102">
        <v>0.18726000000000001</v>
      </c>
      <c r="D102">
        <v>2.9610000000000001E-2</v>
      </c>
      <c r="E102">
        <v>7.2619999999999996</v>
      </c>
      <c r="F102">
        <v>0.23219000000000001</v>
      </c>
      <c r="G102">
        <v>3.671E-2</v>
      </c>
      <c r="H102">
        <v>32.514000000000003</v>
      </c>
      <c r="I102">
        <v>0.17616000000000001</v>
      </c>
      <c r="J102">
        <v>2.785E-2</v>
      </c>
      <c r="K102">
        <v>27.06</v>
      </c>
      <c r="L102">
        <v>0.12662999999999999</v>
      </c>
      <c r="M102">
        <v>2.002E-2</v>
      </c>
      <c r="N102">
        <v>11.99</v>
      </c>
      <c r="O102">
        <v>0.72960999999999998</v>
      </c>
      <c r="P102">
        <v>0.11536</v>
      </c>
      <c r="Q102">
        <v>12.045999999999999</v>
      </c>
      <c r="R102">
        <v>0.73326000000000002</v>
      </c>
      <c r="S102">
        <v>0.11594</v>
      </c>
      <c r="T102">
        <v>18.776</v>
      </c>
      <c r="U102">
        <v>0.12418</v>
      </c>
      <c r="V102">
        <v>1.9630000000000002E-2</v>
      </c>
      <c r="W102">
        <v>18.713999999999999</v>
      </c>
      <c r="X102">
        <v>4.9500000000000002E-2</v>
      </c>
      <c r="Y102">
        <v>7.8300000000000002E-3</v>
      </c>
    </row>
    <row r="103" spans="1:25" x14ac:dyDescent="0.2">
      <c r="A103" t="s">
        <v>126</v>
      </c>
      <c r="B103">
        <v>7.1879999999999997</v>
      </c>
      <c r="C103">
        <v>0.24834999999999999</v>
      </c>
      <c r="D103">
        <v>3.9269999999999999E-2</v>
      </c>
      <c r="E103">
        <v>7.0309999999999997</v>
      </c>
      <c r="F103">
        <v>0.20705999999999999</v>
      </c>
      <c r="G103">
        <v>3.2739999999999998E-2</v>
      </c>
      <c r="H103">
        <v>18.853000000000002</v>
      </c>
      <c r="I103">
        <v>6.0920000000000002E-2</v>
      </c>
      <c r="J103">
        <v>9.6299999999999997E-3</v>
      </c>
      <c r="K103">
        <v>8.0909999999999993</v>
      </c>
      <c r="L103">
        <v>3.2309999999999998E-2</v>
      </c>
      <c r="M103">
        <v>5.11E-3</v>
      </c>
      <c r="N103">
        <v>11.964</v>
      </c>
      <c r="O103">
        <v>0.55754999999999999</v>
      </c>
      <c r="P103">
        <v>8.8160000000000002E-2</v>
      </c>
      <c r="Q103">
        <v>12.285</v>
      </c>
      <c r="R103">
        <v>0.60968</v>
      </c>
      <c r="S103">
        <v>9.64E-2</v>
      </c>
      <c r="T103">
        <v>12.433</v>
      </c>
      <c r="U103">
        <v>0.10678</v>
      </c>
      <c r="V103">
        <v>1.6879999999999999E-2</v>
      </c>
      <c r="W103">
        <v>9.6110000000000007</v>
      </c>
      <c r="X103">
        <v>5.3280000000000001E-2</v>
      </c>
      <c r="Y103">
        <v>8.4200000000000004E-3</v>
      </c>
    </row>
    <row r="104" spans="1:25" x14ac:dyDescent="0.2">
      <c r="A104" t="s">
        <v>127</v>
      </c>
      <c r="B104">
        <v>4.6509999999999998</v>
      </c>
      <c r="C104">
        <v>0.42122999999999999</v>
      </c>
      <c r="D104">
        <v>6.6600000000000006E-2</v>
      </c>
      <c r="E104">
        <v>4.032</v>
      </c>
      <c r="F104">
        <v>0.24301</v>
      </c>
      <c r="G104">
        <v>3.8420000000000003E-2</v>
      </c>
      <c r="H104">
        <v>1.903</v>
      </c>
      <c r="I104">
        <v>0.11436</v>
      </c>
      <c r="J104">
        <v>1.8079999999999999E-2</v>
      </c>
      <c r="K104">
        <v>1.861</v>
      </c>
      <c r="L104">
        <v>0.16311</v>
      </c>
      <c r="M104">
        <v>2.579E-2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5.3170000000000002</v>
      </c>
      <c r="U104">
        <v>0.16911999999999999</v>
      </c>
      <c r="V104">
        <v>2.674E-2</v>
      </c>
      <c r="W104">
        <v>4.6340000000000003</v>
      </c>
      <c r="X104">
        <v>5.5300000000000002E-2</v>
      </c>
      <c r="Y104">
        <v>8.7399999999999995E-3</v>
      </c>
    </row>
    <row r="105" spans="1:25" x14ac:dyDescent="0.2">
      <c r="A105" t="s">
        <v>128</v>
      </c>
      <c r="B105">
        <v>4.5759999999999996</v>
      </c>
      <c r="C105">
        <v>0.35281000000000001</v>
      </c>
      <c r="D105">
        <v>5.5780000000000003E-2</v>
      </c>
      <c r="E105">
        <v>4.069</v>
      </c>
      <c r="F105">
        <v>0.30093999999999999</v>
      </c>
      <c r="G105">
        <v>4.7579999999999997E-2</v>
      </c>
      <c r="H105">
        <v>1.9219999999999999</v>
      </c>
      <c r="I105">
        <v>0.13674</v>
      </c>
      <c r="J105">
        <v>2.162E-2</v>
      </c>
      <c r="K105">
        <v>1.837</v>
      </c>
      <c r="L105">
        <v>0.15390999999999999</v>
      </c>
      <c r="M105">
        <v>2.4340000000000001E-2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5.3029999999999999</v>
      </c>
      <c r="U105">
        <v>0.17874000000000001</v>
      </c>
      <c r="V105">
        <v>2.826E-2</v>
      </c>
      <c r="W105">
        <v>4.6500000000000004</v>
      </c>
      <c r="X105">
        <v>5.6890000000000003E-2</v>
      </c>
      <c r="Y105">
        <v>8.9899999999999997E-3</v>
      </c>
    </row>
    <row r="106" spans="1:25" x14ac:dyDescent="0.2">
      <c r="A106" t="s">
        <v>129</v>
      </c>
      <c r="B106">
        <v>7.0679999999999996</v>
      </c>
      <c r="C106">
        <v>0.20241999999999999</v>
      </c>
      <c r="D106">
        <v>3.2009999999999997E-2</v>
      </c>
      <c r="E106">
        <v>7.0380000000000003</v>
      </c>
      <c r="F106">
        <v>0.16947999999999999</v>
      </c>
      <c r="G106">
        <v>2.6800000000000001E-2</v>
      </c>
      <c r="H106">
        <v>5.42</v>
      </c>
      <c r="I106">
        <v>1.9060000000000001E-2</v>
      </c>
      <c r="J106">
        <v>3.0100000000000001E-3</v>
      </c>
      <c r="K106">
        <v>5.399</v>
      </c>
      <c r="L106">
        <v>1.678E-2</v>
      </c>
      <c r="M106">
        <v>2.65E-3</v>
      </c>
      <c r="N106">
        <v>11.939</v>
      </c>
      <c r="O106">
        <v>0.62456</v>
      </c>
      <c r="P106">
        <v>9.8750000000000004E-2</v>
      </c>
      <c r="Q106">
        <v>11.974</v>
      </c>
      <c r="R106">
        <v>0.50341999999999998</v>
      </c>
      <c r="S106">
        <v>7.9600000000000004E-2</v>
      </c>
      <c r="T106">
        <v>6.5730000000000004</v>
      </c>
      <c r="U106">
        <v>5.6410000000000002E-2</v>
      </c>
      <c r="V106">
        <v>8.9200000000000008E-3</v>
      </c>
      <c r="W106">
        <v>6.5869999999999997</v>
      </c>
      <c r="X106">
        <v>5.5320000000000001E-2</v>
      </c>
      <c r="Y106">
        <v>8.7500000000000008E-3</v>
      </c>
    </row>
    <row r="107" spans="1:25" x14ac:dyDescent="0.2">
      <c r="A107" t="s">
        <v>130</v>
      </c>
      <c r="B107">
        <v>7.0940000000000003</v>
      </c>
      <c r="C107">
        <v>0.20164000000000001</v>
      </c>
      <c r="D107">
        <v>3.1879999999999999E-2</v>
      </c>
      <c r="E107">
        <v>7.0359999999999996</v>
      </c>
      <c r="F107">
        <v>0.28634999999999999</v>
      </c>
      <c r="G107">
        <v>4.5280000000000001E-2</v>
      </c>
      <c r="H107">
        <v>5.4189999999999996</v>
      </c>
      <c r="I107">
        <v>2.5909999999999999E-2</v>
      </c>
      <c r="J107">
        <v>4.1000000000000003E-3</v>
      </c>
      <c r="K107">
        <v>5.4180000000000001</v>
      </c>
      <c r="L107">
        <v>3.2680000000000001E-2</v>
      </c>
      <c r="M107">
        <v>5.1700000000000001E-3</v>
      </c>
      <c r="N107">
        <v>12.004</v>
      </c>
      <c r="O107">
        <v>0.46777000000000002</v>
      </c>
      <c r="P107">
        <v>7.3959999999999998E-2</v>
      </c>
      <c r="Q107">
        <v>12.082000000000001</v>
      </c>
      <c r="R107">
        <v>0.55462999999999996</v>
      </c>
      <c r="S107">
        <v>8.77E-2</v>
      </c>
      <c r="T107">
        <v>6.5259999999999998</v>
      </c>
      <c r="U107">
        <v>5.2659999999999998E-2</v>
      </c>
      <c r="V107">
        <v>8.3300000000000006E-3</v>
      </c>
      <c r="W107">
        <v>6.5419999999999998</v>
      </c>
      <c r="X107">
        <v>4.65E-2</v>
      </c>
      <c r="Y107">
        <v>7.3499999999999998E-3</v>
      </c>
    </row>
    <row r="108" spans="1:25" x14ac:dyDescent="0.2">
      <c r="A108" t="s">
        <v>131</v>
      </c>
      <c r="B108">
        <v>6.5250000000000004</v>
      </c>
      <c r="C108">
        <v>1.6010800000000001</v>
      </c>
      <c r="D108">
        <v>0.25314999999999999</v>
      </c>
      <c r="E108">
        <v>3.9750000000000001</v>
      </c>
      <c r="F108">
        <v>0.91952</v>
      </c>
      <c r="G108">
        <v>0.14538999999999999</v>
      </c>
      <c r="H108">
        <v>5.4009999999999998</v>
      </c>
      <c r="I108">
        <v>1.822E-2</v>
      </c>
      <c r="J108">
        <v>2.8800000000000002E-3</v>
      </c>
      <c r="K108">
        <v>1.972</v>
      </c>
      <c r="L108">
        <v>0.11791</v>
      </c>
      <c r="M108">
        <v>1.864E-2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6.532</v>
      </c>
      <c r="U108">
        <v>5.5460000000000002E-2</v>
      </c>
      <c r="V108">
        <v>8.77E-3</v>
      </c>
      <c r="W108">
        <v>4.5960000000000001</v>
      </c>
      <c r="X108">
        <v>5.9790000000000003E-2</v>
      </c>
      <c r="Y108">
        <v>9.4500000000000001E-3</v>
      </c>
    </row>
    <row r="109" spans="1:25" x14ac:dyDescent="0.2">
      <c r="A109" t="s">
        <v>132</v>
      </c>
      <c r="B109">
        <v>6.875</v>
      </c>
      <c r="C109">
        <v>1.0174799999999999</v>
      </c>
      <c r="D109">
        <v>0.16088</v>
      </c>
      <c r="E109">
        <v>3.95</v>
      </c>
      <c r="F109">
        <v>1.7386999999999999</v>
      </c>
      <c r="G109">
        <v>0.27490999999999999</v>
      </c>
      <c r="H109">
        <v>5.423</v>
      </c>
      <c r="I109">
        <v>2.775E-2</v>
      </c>
      <c r="J109">
        <v>4.3899999999999998E-3</v>
      </c>
      <c r="K109">
        <v>1.9379999999999999</v>
      </c>
      <c r="L109">
        <v>0.11422</v>
      </c>
      <c r="M109">
        <v>1.806E-2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6.5460000000000003</v>
      </c>
      <c r="U109">
        <v>4.5999999999999999E-2</v>
      </c>
      <c r="V109">
        <v>7.2700000000000004E-3</v>
      </c>
      <c r="W109">
        <v>4.6029999999999998</v>
      </c>
      <c r="X109">
        <v>4.9059999999999999E-2</v>
      </c>
      <c r="Y109">
        <v>7.7600000000000004E-3</v>
      </c>
    </row>
    <row r="110" spans="1:25" x14ac:dyDescent="0.2">
      <c r="A110" t="s">
        <v>133</v>
      </c>
      <c r="B110">
        <v>7.0819999999999999</v>
      </c>
      <c r="C110">
        <v>0.20796000000000001</v>
      </c>
      <c r="D110">
        <v>3.288E-2</v>
      </c>
      <c r="E110">
        <v>7.5209999999999999</v>
      </c>
      <c r="F110">
        <v>0.48555999999999999</v>
      </c>
      <c r="G110">
        <v>7.6770000000000005E-2</v>
      </c>
      <c r="H110">
        <v>32.33</v>
      </c>
      <c r="I110">
        <v>8.9039999999999994E-2</v>
      </c>
      <c r="J110">
        <v>1.4080000000000001E-2</v>
      </c>
      <c r="K110">
        <v>26.966999999999999</v>
      </c>
      <c r="L110">
        <v>0.11418</v>
      </c>
      <c r="M110">
        <v>1.805E-2</v>
      </c>
      <c r="N110">
        <v>12.334</v>
      </c>
      <c r="O110">
        <v>0.67744000000000004</v>
      </c>
      <c r="P110">
        <v>0.10711</v>
      </c>
      <c r="Q110">
        <v>12.117000000000001</v>
      </c>
      <c r="R110">
        <v>0.71587000000000001</v>
      </c>
      <c r="S110">
        <v>0.11319</v>
      </c>
      <c r="T110">
        <v>18.867000000000001</v>
      </c>
      <c r="U110">
        <v>0.41564000000000001</v>
      </c>
      <c r="V110">
        <v>6.5720000000000001E-2</v>
      </c>
      <c r="W110">
        <v>18.722000000000001</v>
      </c>
      <c r="X110">
        <v>4.7370000000000002E-2</v>
      </c>
      <c r="Y110">
        <v>7.4900000000000001E-3</v>
      </c>
    </row>
    <row r="111" spans="1:25" x14ac:dyDescent="0.2">
      <c r="A111" t="s">
        <v>134</v>
      </c>
      <c r="B111">
        <v>7.1029999999999998</v>
      </c>
      <c r="C111">
        <v>0.18396000000000001</v>
      </c>
      <c r="D111">
        <v>2.9090000000000001E-2</v>
      </c>
      <c r="E111">
        <v>7.0449999999999999</v>
      </c>
      <c r="F111">
        <v>0.24215999999999999</v>
      </c>
      <c r="G111">
        <v>3.8289999999999998E-2</v>
      </c>
      <c r="H111">
        <v>18.872</v>
      </c>
      <c r="I111">
        <v>7.0919999999999997E-2</v>
      </c>
      <c r="J111">
        <v>1.1209999999999999E-2</v>
      </c>
      <c r="K111">
        <v>8.08</v>
      </c>
      <c r="L111">
        <v>1.907E-2</v>
      </c>
      <c r="M111">
        <v>3.0200000000000001E-3</v>
      </c>
      <c r="N111">
        <v>12.651999999999999</v>
      </c>
      <c r="O111">
        <v>1.10867</v>
      </c>
      <c r="P111">
        <v>0.17530000000000001</v>
      </c>
      <c r="Q111">
        <v>12.116</v>
      </c>
      <c r="R111">
        <v>0.87992000000000004</v>
      </c>
      <c r="S111">
        <v>0.13913</v>
      </c>
      <c r="T111">
        <v>12.476000000000001</v>
      </c>
      <c r="U111">
        <v>9.1910000000000006E-2</v>
      </c>
      <c r="V111">
        <v>1.453E-2</v>
      </c>
      <c r="W111">
        <v>9.5850000000000009</v>
      </c>
      <c r="X111">
        <v>0.12781999999999999</v>
      </c>
      <c r="Y111">
        <v>2.0209999999999999E-2</v>
      </c>
    </row>
    <row r="112" spans="1:25" x14ac:dyDescent="0.2">
      <c r="A112" t="s">
        <v>135</v>
      </c>
      <c r="B112">
        <v>4.5919999999999996</v>
      </c>
      <c r="C112">
        <v>0.39505000000000001</v>
      </c>
      <c r="D112">
        <v>6.2460000000000002E-2</v>
      </c>
      <c r="E112">
        <v>4.1669999999999998</v>
      </c>
      <c r="F112">
        <v>0.33482000000000001</v>
      </c>
      <c r="G112">
        <v>5.2940000000000001E-2</v>
      </c>
      <c r="H112">
        <v>1.94</v>
      </c>
      <c r="I112">
        <v>0.13586000000000001</v>
      </c>
      <c r="J112">
        <v>2.1479999999999999E-2</v>
      </c>
      <c r="K112">
        <v>1.915</v>
      </c>
      <c r="L112">
        <v>0.15060999999999999</v>
      </c>
      <c r="M112">
        <v>2.3810000000000001E-2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5.3419999999999996</v>
      </c>
      <c r="U112">
        <v>0.22686999999999999</v>
      </c>
      <c r="V112">
        <v>3.5869999999999999E-2</v>
      </c>
      <c r="W112">
        <v>4.6630000000000003</v>
      </c>
      <c r="X112">
        <v>8.9700000000000002E-2</v>
      </c>
      <c r="Y112">
        <v>1.418E-2</v>
      </c>
    </row>
    <row r="113" spans="1:25" x14ac:dyDescent="0.2">
      <c r="A113" t="s">
        <v>136</v>
      </c>
      <c r="B113">
        <v>4.5540000000000003</v>
      </c>
      <c r="C113">
        <v>0.41692000000000001</v>
      </c>
      <c r="D113">
        <v>6.5920000000000006E-2</v>
      </c>
      <c r="E113">
        <v>4.1340000000000003</v>
      </c>
      <c r="F113">
        <v>0.26591999999999999</v>
      </c>
      <c r="G113">
        <v>4.2049999999999997E-2</v>
      </c>
      <c r="H113">
        <v>1.8759999999999999</v>
      </c>
      <c r="I113">
        <v>0.1275</v>
      </c>
      <c r="J113">
        <v>2.0160000000000001E-2</v>
      </c>
      <c r="K113">
        <v>1.849</v>
      </c>
      <c r="L113">
        <v>0.16511000000000001</v>
      </c>
      <c r="M113">
        <v>2.6110000000000001E-2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5.3620000000000001</v>
      </c>
      <c r="U113">
        <v>0.21124999999999999</v>
      </c>
      <c r="V113">
        <v>3.3399999999999999E-2</v>
      </c>
      <c r="W113">
        <v>4.6449999999999996</v>
      </c>
      <c r="X113">
        <v>5.9659999999999998E-2</v>
      </c>
      <c r="Y113">
        <v>9.4299999999999991E-3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02EC-DF56-C949-AD3F-A2F8A9445AB8}">
  <dimension ref="A5:AC90"/>
  <sheetViews>
    <sheetView topLeftCell="A34" workbookViewId="0">
      <selection activeCell="G78" sqref="G78"/>
    </sheetView>
  </sheetViews>
  <sheetFormatPr baseColWidth="10" defaultRowHeight="24" x14ac:dyDescent="0.3"/>
  <cols>
    <col min="1" max="1" width="10.83203125" style="1"/>
    <col min="2" max="2" width="15.5" style="1" customWidth="1"/>
    <col min="3" max="3" width="18.33203125" style="1" customWidth="1"/>
    <col min="4" max="4" width="9.33203125" style="1" customWidth="1"/>
    <col min="5" max="5" width="11.83203125" style="1" customWidth="1"/>
    <col min="6" max="6" width="9.33203125" style="1" customWidth="1"/>
    <col min="7" max="7" width="11.83203125" style="1" customWidth="1"/>
    <col min="8" max="8" width="9.33203125" style="1" customWidth="1"/>
    <col min="9" max="9" width="11.83203125" style="1" customWidth="1"/>
    <col min="10" max="10" width="9.33203125" style="1" customWidth="1"/>
    <col min="11" max="11" width="11.83203125" style="1" customWidth="1"/>
    <col min="12" max="12" width="9.33203125" style="1" customWidth="1"/>
    <col min="13" max="13" width="11.83203125" style="1" customWidth="1"/>
    <col min="14" max="14" width="9.33203125" style="1" customWidth="1"/>
    <col min="15" max="15" width="11.83203125" style="1" customWidth="1"/>
    <col min="16" max="16" width="9.33203125" style="1" customWidth="1"/>
    <col min="17" max="17" width="11.83203125" style="1" customWidth="1"/>
    <col min="18" max="18" width="9.33203125" style="1" customWidth="1"/>
    <col min="19" max="19" width="11.83203125" style="1" customWidth="1"/>
    <col min="20" max="29" width="20.83203125" style="1" customWidth="1"/>
    <col min="30" max="16384" width="10.83203125" style="1"/>
  </cols>
  <sheetData>
    <row r="5" spans="1:29" x14ac:dyDescent="0.3">
      <c r="B5" s="1" t="s">
        <v>141</v>
      </c>
      <c r="C5" s="5">
        <v>74</v>
      </c>
    </row>
    <row r="6" spans="1:29" x14ac:dyDescent="0.3">
      <c r="C6" s="1" t="s">
        <v>142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</row>
    <row r="10" spans="1:29" ht="50" x14ac:dyDescent="0.3">
      <c r="C10" s="4" t="s">
        <v>140</v>
      </c>
      <c r="D10" s="3" t="s">
        <v>137</v>
      </c>
      <c r="G10" s="3" t="s">
        <v>143</v>
      </c>
      <c r="J10" s="3" t="s">
        <v>138</v>
      </c>
      <c r="M10" s="3" t="s">
        <v>144</v>
      </c>
      <c r="P10" s="3" t="s">
        <v>139</v>
      </c>
      <c r="S10" s="3" t="s">
        <v>145</v>
      </c>
      <c r="V10" s="3" t="s">
        <v>147</v>
      </c>
      <c r="Y10" s="3" t="s">
        <v>146</v>
      </c>
      <c r="AB10" s="3"/>
      <c r="AC10" s="3"/>
    </row>
    <row r="11" spans="1:29" x14ac:dyDescent="0.3">
      <c r="A11" s="1">
        <v>0</v>
      </c>
      <c r="C11" s="1" t="str" cm="1">
        <f t="array" aca="1" ref="C11" ca="1">INDIRECT("RawData!A"&amp;TEXT(C$5+A11,"0"))</f>
        <v>Test4/gfortran.x</v>
      </c>
      <c r="D11" s="1" cm="1">
        <f t="array" aca="1" ref="D11" ca="1">INDIRECT("RawData!"&amp;ADDRESS($C$5+$A11,D$6))</f>
        <v>7.0369999999999999</v>
      </c>
      <c r="E11" s="1" cm="1">
        <f t="array" aca="1" ref="E11" ca="1">INDIRECT("RawData!"&amp;ADDRESS($C$5+$A11,E$6))</f>
        <v>0.14960999999999999</v>
      </c>
      <c r="F11" s="1" cm="1">
        <f t="array" aca="1" ref="F11" ca="1">INDIRECT("RawData!"&amp;ADDRESS($C$5+$A11,F$6))</f>
        <v>2.3650000000000001E-2</v>
      </c>
      <c r="G11" s="1" cm="1">
        <f t="array" aca="1" ref="G11" ca="1">INDIRECT("RawData!"&amp;ADDRESS($C$5+$A11,G$6))</f>
        <v>7.1120000000000001</v>
      </c>
      <c r="H11" s="1" cm="1">
        <f t="array" aca="1" ref="H11" ca="1">INDIRECT("RawData!"&amp;ADDRESS($C$5+$A11,H$6))</f>
        <v>0.23673</v>
      </c>
      <c r="I11" s="1" cm="1">
        <f t="array" aca="1" ref="I11" ca="1">INDIRECT("RawData!"&amp;ADDRESS($C$5+$A11,I$6))</f>
        <v>3.7429999999999998E-2</v>
      </c>
      <c r="J11" s="1" cm="1">
        <f t="array" aca="1" ref="J11" ca="1">INDIRECT("RawData!"&amp;ADDRESS($C$5+$A11,J$6))</f>
        <v>5.4020000000000001</v>
      </c>
      <c r="K11" s="1" cm="1">
        <f t="array" aca="1" ref="K11" ca="1">INDIRECT("RawData!"&amp;ADDRESS($C$5+$A11,K$6))</f>
        <v>2.0760000000000001E-2</v>
      </c>
      <c r="L11" s="1" cm="1">
        <f t="array" aca="1" ref="L11" ca="1">INDIRECT("RawData!"&amp;ADDRESS($C$5+$A11,L$6))</f>
        <v>3.2799999999999999E-3</v>
      </c>
      <c r="M11" s="1" cm="1">
        <f t="array" aca="1" ref="M11" ca="1">INDIRECT("RawData!"&amp;ADDRESS($C$5+$A11,M$6))</f>
        <v>5.4029999999999996</v>
      </c>
      <c r="N11" s="1" cm="1">
        <f t="array" aca="1" ref="N11" ca="1">INDIRECT("RawData!"&amp;ADDRESS($C$5+$A11,N$6))</f>
        <v>1.847E-2</v>
      </c>
      <c r="O11" s="1" cm="1">
        <f t="array" aca="1" ref="O11" ca="1">INDIRECT("RawData!"&amp;ADDRESS($C$5+$A11,O$6))</f>
        <v>2.9199999999999999E-3</v>
      </c>
      <c r="P11" s="1" cm="1">
        <f t="array" aca="1" ref="P11" ca="1">INDIRECT("RawData!"&amp;ADDRESS($C$5+$A11,P$6))</f>
        <v>12.18</v>
      </c>
      <c r="Q11" s="1" cm="1">
        <f t="array" aca="1" ref="Q11" ca="1">INDIRECT("RawData!"&amp;ADDRESS($C$5+$A11,Q$6))</f>
        <v>0.7591</v>
      </c>
      <c r="R11" s="1" cm="1">
        <f t="array" aca="1" ref="R11" ca="1">INDIRECT("RawData!"&amp;ADDRESS($C$5+$A11,R$6))</f>
        <v>0.12002</v>
      </c>
      <c r="S11" s="1" cm="1">
        <f t="array" aca="1" ref="S11" ca="1">INDIRECT("RawData!"&amp;ADDRESS($C$5+$A11,S$6))</f>
        <v>12.356</v>
      </c>
      <c r="T11" s="1" cm="1">
        <f t="array" aca="1" ref="T11" ca="1">INDIRECT("RawData!"&amp;ADDRESS($C$5+$A11,T$6))</f>
        <v>0.74239999999999995</v>
      </c>
      <c r="U11" s="1" cm="1">
        <f t="array" aca="1" ref="U11" ca="1">INDIRECT("RawData!"&amp;ADDRESS($C$5+$A11,U$6))</f>
        <v>0.11738</v>
      </c>
      <c r="V11" s="1" cm="1">
        <f t="array" aca="1" ref="V11" ca="1">INDIRECT("RawData!"&amp;ADDRESS($C$5+$A11,V$6))</f>
        <v>6.5410000000000004</v>
      </c>
      <c r="W11" s="1" cm="1">
        <f t="array" aca="1" ref="W11" ca="1">INDIRECT("RawData!"&amp;ADDRESS($C$5+$A11,W$6))</f>
        <v>8.3690000000000001E-2</v>
      </c>
      <c r="X11" s="1" cm="1">
        <f t="array" aca="1" ref="X11" ca="1">INDIRECT("RawData!"&amp;ADDRESS($C$5+$A11,X$6))</f>
        <v>1.323E-2</v>
      </c>
      <c r="Y11" s="1" cm="1">
        <f t="array" aca="1" ref="Y11" ca="1">INDIRECT("RawData!"&amp;ADDRESS($C$5+$A11,Y$6))</f>
        <v>6.577</v>
      </c>
      <c r="Z11" s="1" cm="1">
        <f t="array" aca="1" ref="Z11" ca="1">INDIRECT("RawData!"&amp;ADDRESS($C$5+$A11,Z$6))</f>
        <v>5.151E-2</v>
      </c>
      <c r="AA11" s="1" cm="1">
        <f t="array" aca="1" ref="AA11" ca="1">INDIRECT("RawData!"&amp;ADDRESS($C$5+$A11,AA$6))</f>
        <v>8.1399999999999997E-3</v>
      </c>
    </row>
    <row r="12" spans="1:29" x14ac:dyDescent="0.3">
      <c r="A12" s="1">
        <v>1</v>
      </c>
      <c r="C12" s="1" t="str" cm="1">
        <f t="array" aca="1" ref="C12" ca="1">INDIRECT("RawData!A"&amp;TEXT(C$5+A12,"0"))</f>
        <v>Test4/gfortran_o3.x</v>
      </c>
      <c r="D12" s="1" cm="1">
        <f t="array" aca="1" ref="D12" ca="1">INDIRECT("RawData!"&amp;ADDRESS($C$5+$A12,D$6))</f>
        <v>7.02</v>
      </c>
      <c r="E12" s="1" cm="1">
        <f t="array" aca="1" ref="E12" ca="1">INDIRECT("RawData!"&amp;ADDRESS($C$5+$A12,E$6))</f>
        <v>0.16392999999999999</v>
      </c>
      <c r="F12" s="1" cm="1">
        <f t="array" aca="1" ref="F12" ca="1">INDIRECT("RawData!"&amp;ADDRESS($C$5+$A12,F$6))</f>
        <v>2.5919999999999999E-2</v>
      </c>
      <c r="G12" s="1" cm="1">
        <f t="array" aca="1" ref="G12" ca="1">INDIRECT("RawData!"&amp;ADDRESS($C$5+$A12,G$6))</f>
        <v>6.9450000000000003</v>
      </c>
      <c r="H12" s="1" cm="1">
        <f t="array" aca="1" ref="H12" ca="1">INDIRECT("RawData!"&amp;ADDRESS($C$5+$A12,H$6))</f>
        <v>0.15970000000000001</v>
      </c>
      <c r="I12" s="1" cm="1">
        <f t="array" aca="1" ref="I12" ca="1">INDIRECT("RawData!"&amp;ADDRESS($C$5+$A12,I$6))</f>
        <v>2.5250000000000002E-2</v>
      </c>
      <c r="J12" s="1" cm="1">
        <f t="array" aca="1" ref="J12" ca="1">INDIRECT("RawData!"&amp;ADDRESS($C$5+$A12,J$6))</f>
        <v>5.431</v>
      </c>
      <c r="K12" s="1" cm="1">
        <f t="array" aca="1" ref="K12" ca="1">INDIRECT("RawData!"&amp;ADDRESS($C$5+$A12,K$6))</f>
        <v>2.6429999999999999E-2</v>
      </c>
      <c r="L12" s="1" cm="1">
        <f t="array" aca="1" ref="L12" ca="1">INDIRECT("RawData!"&amp;ADDRESS($C$5+$A12,L$6))</f>
        <v>4.1799999999999997E-3</v>
      </c>
      <c r="M12" s="1" cm="1">
        <f t="array" aca="1" ref="M12" ca="1">INDIRECT("RawData!"&amp;ADDRESS($C$5+$A12,M$6))</f>
        <v>5.4009999999999998</v>
      </c>
      <c r="N12" s="1" cm="1">
        <f t="array" aca="1" ref="N12" ca="1">INDIRECT("RawData!"&amp;ADDRESS($C$5+$A12,N$6))</f>
        <v>2.2880000000000001E-2</v>
      </c>
      <c r="O12" s="1" cm="1">
        <f t="array" aca="1" ref="O12" ca="1">INDIRECT("RawData!"&amp;ADDRESS($C$5+$A12,O$6))</f>
        <v>3.62E-3</v>
      </c>
      <c r="P12" s="1" cm="1">
        <f t="array" aca="1" ref="P12" ca="1">INDIRECT("RawData!"&amp;ADDRESS($C$5+$A12,P$6))</f>
        <v>12.202999999999999</v>
      </c>
      <c r="Q12" s="1" cm="1">
        <f t="array" aca="1" ref="Q12" ca="1">INDIRECT("RawData!"&amp;ADDRESS($C$5+$A12,Q$6))</f>
        <v>0.86719999999999997</v>
      </c>
      <c r="R12" s="1" cm="1">
        <f t="array" aca="1" ref="R12" ca="1">INDIRECT("RawData!"&amp;ADDRESS($C$5+$A12,R$6))</f>
        <v>0.13711999999999999</v>
      </c>
      <c r="S12" s="1" cm="1">
        <f t="array" aca="1" ref="S12" ca="1">INDIRECT("RawData!"&amp;ADDRESS($C$5+$A12,S$6))</f>
        <v>12.53</v>
      </c>
      <c r="T12" s="1" cm="1">
        <f t="array" aca="1" ref="T12" ca="1">INDIRECT("RawData!"&amp;ADDRESS($C$5+$A12,T$6))</f>
        <v>2.5947399999999998</v>
      </c>
      <c r="U12" s="1" cm="1">
        <f t="array" aca="1" ref="U12" ca="1">INDIRECT("RawData!"&amp;ADDRESS($C$5+$A12,U$6))</f>
        <v>0.41026000000000001</v>
      </c>
      <c r="V12" s="1" cm="1">
        <f t="array" aca="1" ref="V12" ca="1">INDIRECT("RawData!"&amp;ADDRESS($C$5+$A12,V$6))</f>
        <v>6.5289999999999999</v>
      </c>
      <c r="W12" s="1" cm="1">
        <f t="array" aca="1" ref="W12" ca="1">INDIRECT("RawData!"&amp;ADDRESS($C$5+$A12,W$6))</f>
        <v>6.4810000000000006E-2</v>
      </c>
      <c r="X12" s="1" cm="1">
        <f t="array" aca="1" ref="X12" ca="1">INDIRECT("RawData!"&amp;ADDRESS($C$5+$A12,X$6))</f>
        <v>1.025E-2</v>
      </c>
      <c r="Y12" s="1" cm="1">
        <f t="array" aca="1" ref="Y12" ca="1">INDIRECT("RawData!"&amp;ADDRESS($C$5+$A12,Y$6))</f>
        <v>6.5529999999999999</v>
      </c>
      <c r="Z12" s="1" cm="1">
        <f t="array" aca="1" ref="Z12" ca="1">INDIRECT("RawData!"&amp;ADDRESS($C$5+$A12,Z$6))</f>
        <v>4.2810000000000001E-2</v>
      </c>
      <c r="AA12" s="1" cm="1">
        <f t="array" aca="1" ref="AA12" ca="1">INDIRECT("RawData!"&amp;ADDRESS($C$5+$A12,AA$6))</f>
        <v>6.77E-3</v>
      </c>
    </row>
    <row r="13" spans="1:29" x14ac:dyDescent="0.3">
      <c r="A13" s="1">
        <v>2</v>
      </c>
      <c r="C13" s="1" t="str" cm="1">
        <f t="array" aca="1" ref="C13" ca="1">INDIRECT("RawData!A"&amp;TEXT(C$5+A13,"0"))</f>
        <v>Test4/ifx.x</v>
      </c>
      <c r="D13" s="1" cm="1">
        <f t="array" aca="1" ref="D13" ca="1">INDIRECT("RawData!"&amp;ADDRESS($C$5+$A13,D$6))</f>
        <v>7.3250000000000002</v>
      </c>
      <c r="E13" s="1" cm="1">
        <f t="array" aca="1" ref="E13" ca="1">INDIRECT("RawData!"&amp;ADDRESS($C$5+$A13,E$6))</f>
        <v>2.0802800000000001</v>
      </c>
      <c r="F13" s="1" cm="1">
        <f t="array" aca="1" ref="F13" ca="1">INDIRECT("RawData!"&amp;ADDRESS($C$5+$A13,F$6))</f>
        <v>0.32891999999999999</v>
      </c>
      <c r="G13" s="1" cm="1">
        <f t="array" aca="1" ref="G13" ca="1">INDIRECT("RawData!"&amp;ADDRESS($C$5+$A13,G$6))</f>
        <v>4.0250000000000004</v>
      </c>
      <c r="H13" s="1" cm="1">
        <f t="array" aca="1" ref="H13" ca="1">INDIRECT("RawData!"&amp;ADDRESS($C$5+$A13,H$6))</f>
        <v>1.1654800000000001</v>
      </c>
      <c r="I13" s="1" cm="1">
        <f t="array" aca="1" ref="I13" ca="1">INDIRECT("RawData!"&amp;ADDRESS($C$5+$A13,I$6))</f>
        <v>0.18428</v>
      </c>
      <c r="J13" s="1" cm="1">
        <f t="array" aca="1" ref="J13" ca="1">INDIRECT("RawData!"&amp;ADDRESS($C$5+$A13,J$6))</f>
        <v>5.4109999999999996</v>
      </c>
      <c r="K13" s="1" cm="1">
        <f t="array" aca="1" ref="K13" ca="1">INDIRECT("RawData!"&amp;ADDRESS($C$5+$A13,K$6))</f>
        <v>3.304E-2</v>
      </c>
      <c r="L13" s="1" cm="1">
        <f t="array" aca="1" ref="L13" ca="1">INDIRECT("RawData!"&amp;ADDRESS($C$5+$A13,L$6))</f>
        <v>5.2199999999999998E-3</v>
      </c>
      <c r="M13" s="1" cm="1">
        <f t="array" aca="1" ref="M13" ca="1">INDIRECT("RawData!"&amp;ADDRESS($C$5+$A13,M$6))</f>
        <v>1.9870000000000001</v>
      </c>
      <c r="N13" s="1" cm="1">
        <f t="array" aca="1" ref="N13" ca="1">INDIRECT("RawData!"&amp;ADDRESS($C$5+$A13,N$6))</f>
        <v>0.12889999999999999</v>
      </c>
      <c r="O13" s="1" cm="1">
        <f t="array" aca="1" ref="O13" ca="1">INDIRECT("RawData!"&amp;ADDRESS($C$5+$A13,O$6))</f>
        <v>2.0379999999999999E-2</v>
      </c>
      <c r="P13" s="1" cm="1">
        <f t="array" aca="1" ref="P13" ca="1">INDIRECT("RawData!"&amp;ADDRESS($C$5+$A13,P$6))</f>
        <v>0</v>
      </c>
      <c r="Q13" s="1" cm="1">
        <f t="array" aca="1" ref="Q13" ca="1">INDIRECT("RawData!"&amp;ADDRESS($C$5+$A13,Q$6))</f>
        <v>0</v>
      </c>
      <c r="R13" s="1" cm="1">
        <f t="array" aca="1" ref="R13" ca="1">INDIRECT("RawData!"&amp;ADDRESS($C$5+$A13,R$6))</f>
        <v>0</v>
      </c>
      <c r="S13" s="1" cm="1">
        <f t="array" aca="1" ref="S13" ca="1">INDIRECT("RawData!"&amp;ADDRESS($C$5+$A13,S$6))</f>
        <v>0</v>
      </c>
      <c r="T13" s="1" cm="1">
        <f t="array" aca="1" ref="T13" ca="1">INDIRECT("RawData!"&amp;ADDRESS($C$5+$A13,T$6))</f>
        <v>0</v>
      </c>
      <c r="U13" s="1" cm="1">
        <f t="array" aca="1" ref="U13" ca="1">INDIRECT("RawData!"&amp;ADDRESS($C$5+$A13,U$6))</f>
        <v>0</v>
      </c>
      <c r="V13" s="1" cm="1">
        <f t="array" aca="1" ref="V13" ca="1">INDIRECT("RawData!"&amp;ADDRESS($C$5+$A13,V$6))</f>
        <v>6.54</v>
      </c>
      <c r="W13" s="1" cm="1">
        <f t="array" aca="1" ref="W13" ca="1">INDIRECT("RawData!"&amp;ADDRESS($C$5+$A13,W$6))</f>
        <v>7.1790000000000007E-2</v>
      </c>
      <c r="X13" s="1" cm="1">
        <f t="array" aca="1" ref="X13" ca="1">INDIRECT("RawData!"&amp;ADDRESS($C$5+$A13,X$6))</f>
        <v>1.1350000000000001E-2</v>
      </c>
      <c r="Y13" s="1" cm="1">
        <f t="array" aca="1" ref="Y13" ca="1">INDIRECT("RawData!"&amp;ADDRESS($C$5+$A13,Y$6))</f>
        <v>4.5979999999999999</v>
      </c>
      <c r="Z13" s="1" cm="1">
        <f t="array" aca="1" ref="Z13" ca="1">INDIRECT("RawData!"&amp;ADDRESS($C$5+$A13,Z$6))</f>
        <v>5.6869999999999997E-2</v>
      </c>
      <c r="AA13" s="1" cm="1">
        <f t="array" aca="1" ref="AA13" ca="1">INDIRECT("RawData!"&amp;ADDRESS($C$5+$A13,AA$6))</f>
        <v>8.9899999999999997E-3</v>
      </c>
    </row>
    <row r="14" spans="1:29" x14ac:dyDescent="0.3">
      <c r="A14" s="1">
        <v>3</v>
      </c>
      <c r="C14" s="1" t="str" cm="1">
        <f t="array" aca="1" ref="C14" ca="1">INDIRECT("RawData!A"&amp;TEXT(C$5+A14,"0"))</f>
        <v>Test4/ifx_o3.x</v>
      </c>
      <c r="D14" s="1" cm="1">
        <f t="array" aca="1" ref="D14" ca="1">INDIRECT("RawData!"&amp;ADDRESS($C$5+$A14,D$6))</f>
        <v>7.1</v>
      </c>
      <c r="E14" s="1" cm="1">
        <f t="array" aca="1" ref="E14" ca="1">INDIRECT("RawData!"&amp;ADDRESS($C$5+$A14,E$6))</f>
        <v>0.84123999999999999</v>
      </c>
      <c r="F14" s="1" cm="1">
        <f t="array" aca="1" ref="F14" ca="1">INDIRECT("RawData!"&amp;ADDRESS($C$5+$A14,F$6))</f>
        <v>0.13300999999999999</v>
      </c>
      <c r="G14" s="1" cm="1">
        <f t="array" aca="1" ref="G14" ca="1">INDIRECT("RawData!"&amp;ADDRESS($C$5+$A14,G$6))</f>
        <v>4.3</v>
      </c>
      <c r="H14" s="1" cm="1">
        <f t="array" aca="1" ref="H14" ca="1">INDIRECT("RawData!"&amp;ADDRESS($C$5+$A14,H$6))</f>
        <v>1.43581</v>
      </c>
      <c r="I14" s="1" cm="1">
        <f t="array" aca="1" ref="I14" ca="1">INDIRECT("RawData!"&amp;ADDRESS($C$5+$A14,I$6))</f>
        <v>0.22702</v>
      </c>
      <c r="J14" s="1" cm="1">
        <f t="array" aca="1" ref="J14" ca="1">INDIRECT("RawData!"&amp;ADDRESS($C$5+$A14,J$6))</f>
        <v>5.4139999999999997</v>
      </c>
      <c r="K14" s="1" cm="1">
        <f t="array" aca="1" ref="K14" ca="1">INDIRECT("RawData!"&amp;ADDRESS($C$5+$A14,K$6))</f>
        <v>1.9099999999999999E-2</v>
      </c>
      <c r="L14" s="1" cm="1">
        <f t="array" aca="1" ref="L14" ca="1">INDIRECT("RawData!"&amp;ADDRESS($C$5+$A14,L$6))</f>
        <v>3.0200000000000001E-3</v>
      </c>
      <c r="M14" s="1" cm="1">
        <f t="array" aca="1" ref="M14" ca="1">INDIRECT("RawData!"&amp;ADDRESS($C$5+$A14,M$6))</f>
        <v>1.9330000000000001</v>
      </c>
      <c r="N14" s="1" cm="1">
        <f t="array" aca="1" ref="N14" ca="1">INDIRECT("RawData!"&amp;ADDRESS($C$5+$A14,N$6))</f>
        <v>0.10846</v>
      </c>
      <c r="O14" s="1" cm="1">
        <f t="array" aca="1" ref="O14" ca="1">INDIRECT("RawData!"&amp;ADDRESS($C$5+$A14,O$6))</f>
        <v>1.7149999999999999E-2</v>
      </c>
      <c r="P14" s="1" cm="1">
        <f t="array" aca="1" ref="P14" ca="1">INDIRECT("RawData!"&amp;ADDRESS($C$5+$A14,P$6))</f>
        <v>0</v>
      </c>
      <c r="Q14" s="1" cm="1">
        <f t="array" aca="1" ref="Q14" ca="1">INDIRECT("RawData!"&amp;ADDRESS($C$5+$A14,Q$6))</f>
        <v>0</v>
      </c>
      <c r="R14" s="1" cm="1">
        <f t="array" aca="1" ref="R14" ca="1">INDIRECT("RawData!"&amp;ADDRESS($C$5+$A14,R$6))</f>
        <v>0</v>
      </c>
      <c r="S14" s="1" cm="1">
        <f t="array" aca="1" ref="S14" ca="1">INDIRECT("RawData!"&amp;ADDRESS($C$5+$A14,S$6))</f>
        <v>0</v>
      </c>
      <c r="T14" s="1" cm="1">
        <f t="array" aca="1" ref="T14" ca="1">INDIRECT("RawData!"&amp;ADDRESS($C$5+$A14,T$6))</f>
        <v>0</v>
      </c>
      <c r="U14" s="1" cm="1">
        <f t="array" aca="1" ref="U14" ca="1">INDIRECT("RawData!"&amp;ADDRESS($C$5+$A14,U$6))</f>
        <v>0</v>
      </c>
      <c r="V14" s="1" cm="1">
        <f t="array" aca="1" ref="V14" ca="1">INDIRECT("RawData!"&amp;ADDRESS($C$5+$A14,V$6))</f>
        <v>6.548</v>
      </c>
      <c r="W14" s="1" cm="1">
        <f t="array" aca="1" ref="W14" ca="1">INDIRECT("RawData!"&amp;ADDRESS($C$5+$A14,W$6))</f>
        <v>6.5960000000000005E-2</v>
      </c>
      <c r="X14" s="1" cm="1">
        <f t="array" aca="1" ref="X14" ca="1">INDIRECT("RawData!"&amp;ADDRESS($C$5+$A14,X$6))</f>
        <v>1.043E-2</v>
      </c>
      <c r="Y14" s="1" cm="1">
        <f t="array" aca="1" ref="Y14" ca="1">INDIRECT("RawData!"&amp;ADDRESS($C$5+$A14,Y$6))</f>
        <v>4.5960000000000001</v>
      </c>
      <c r="Z14" s="1" cm="1">
        <f t="array" aca="1" ref="Z14" ca="1">INDIRECT("RawData!"&amp;ADDRESS($C$5+$A14,Z$6))</f>
        <v>5.2260000000000001E-2</v>
      </c>
      <c r="AA14" s="1" cm="1">
        <f t="array" aca="1" ref="AA14" ca="1">INDIRECT("RawData!"&amp;ADDRESS($C$5+$A14,AA$6))</f>
        <v>8.26E-3</v>
      </c>
    </row>
    <row r="15" spans="1:29" x14ac:dyDescent="0.3">
      <c r="A15" s="1">
        <v>4</v>
      </c>
      <c r="C15" s="1" t="str" cm="1">
        <f t="array" aca="1" ref="C15" ca="1">INDIRECT("RawData!A"&amp;TEXT(C$5+A15,"0"))</f>
        <v>Test4/gpp.x</v>
      </c>
      <c r="D15" s="1" cm="1">
        <f t="array" aca="1" ref="D15" ca="1">INDIRECT("RawData!"&amp;ADDRESS($C$5+$A15,D$6))</f>
        <v>6.9889999999999999</v>
      </c>
      <c r="E15" s="1" cm="1">
        <f t="array" aca="1" ref="E15" ca="1">INDIRECT("RawData!"&amp;ADDRESS($C$5+$A15,E$6))</f>
        <v>0.13671</v>
      </c>
      <c r="F15" s="1" cm="1">
        <f t="array" aca="1" ref="F15" ca="1">INDIRECT("RawData!"&amp;ADDRESS($C$5+$A15,F$6))</f>
        <v>2.162E-2</v>
      </c>
      <c r="G15" s="1" cm="1">
        <f t="array" aca="1" ref="G15" ca="1">INDIRECT("RawData!"&amp;ADDRESS($C$5+$A15,G$6))</f>
        <v>7.2789999999999999</v>
      </c>
      <c r="H15" s="1" cm="1">
        <f t="array" aca="1" ref="H15" ca="1">INDIRECT("RawData!"&amp;ADDRESS($C$5+$A15,H$6))</f>
        <v>0.24149999999999999</v>
      </c>
      <c r="I15" s="1" cm="1">
        <f t="array" aca="1" ref="I15" ca="1">INDIRECT("RawData!"&amp;ADDRESS($C$5+$A15,I$6))</f>
        <v>3.8179999999999999E-2</v>
      </c>
      <c r="J15" s="1" cm="1">
        <f t="array" aca="1" ref="J15" ca="1">INDIRECT("RawData!"&amp;ADDRESS($C$5+$A15,J$6))</f>
        <v>32.311999999999998</v>
      </c>
      <c r="K15" s="1" cm="1">
        <f t="array" aca="1" ref="K15" ca="1">INDIRECT("RawData!"&amp;ADDRESS($C$5+$A15,K$6))</f>
        <v>9.7409999999999997E-2</v>
      </c>
      <c r="L15" s="1" cm="1">
        <f t="array" aca="1" ref="L15" ca="1">INDIRECT("RawData!"&amp;ADDRESS($C$5+$A15,L$6))</f>
        <v>1.54E-2</v>
      </c>
      <c r="M15" s="1" cm="1">
        <f t="array" aca="1" ref="M15" ca="1">INDIRECT("RawData!"&amp;ADDRESS($C$5+$A15,M$6))</f>
        <v>26.966999999999999</v>
      </c>
      <c r="N15" s="1" cm="1">
        <f t="array" aca="1" ref="N15" ca="1">INDIRECT("RawData!"&amp;ADDRESS($C$5+$A15,N$6))</f>
        <v>0.10363</v>
      </c>
      <c r="O15" s="1" cm="1">
        <f t="array" aca="1" ref="O15" ca="1">INDIRECT("RawData!"&amp;ADDRESS($C$5+$A15,O$6))</f>
        <v>1.6389999999999998E-2</v>
      </c>
      <c r="P15" s="1" cm="1">
        <f t="array" aca="1" ref="P15" ca="1">INDIRECT("RawData!"&amp;ADDRESS($C$5+$A15,P$6))</f>
        <v>12.528</v>
      </c>
      <c r="Q15" s="1" cm="1">
        <f t="array" aca="1" ref="Q15" ca="1">INDIRECT("RawData!"&amp;ADDRESS($C$5+$A15,Q$6))</f>
        <v>0.63627999999999996</v>
      </c>
      <c r="R15" s="1" cm="1">
        <f t="array" aca="1" ref="R15" ca="1">INDIRECT("RawData!"&amp;ADDRESS($C$5+$A15,R$6))</f>
        <v>0.10061</v>
      </c>
      <c r="S15" s="1" cm="1">
        <f t="array" aca="1" ref="S15" ca="1">INDIRECT("RawData!"&amp;ADDRESS($C$5+$A15,S$6))</f>
        <v>11.802</v>
      </c>
      <c r="T15" s="1" cm="1">
        <f t="array" aca="1" ref="T15" ca="1">INDIRECT("RawData!"&amp;ADDRESS($C$5+$A15,T$6))</f>
        <v>1.08466</v>
      </c>
      <c r="U15" s="1" cm="1">
        <f t="array" aca="1" ref="U15" ca="1">INDIRECT("RawData!"&amp;ADDRESS($C$5+$A15,U$6))</f>
        <v>0.17150000000000001</v>
      </c>
      <c r="V15" s="1" cm="1">
        <f t="array" aca="1" ref="V15" ca="1">INDIRECT("RawData!"&amp;ADDRESS($C$5+$A15,V$6))</f>
        <v>18.748000000000001</v>
      </c>
      <c r="W15" s="1" cm="1">
        <f t="array" aca="1" ref="W15" ca="1">INDIRECT("RawData!"&amp;ADDRESS($C$5+$A15,W$6))</f>
        <v>0.10655000000000001</v>
      </c>
      <c r="X15" s="1" cm="1">
        <f t="array" aca="1" ref="X15" ca="1">INDIRECT("RawData!"&amp;ADDRESS($C$5+$A15,X$6))</f>
        <v>1.685E-2</v>
      </c>
      <c r="Y15" s="1" cm="1">
        <f t="array" aca="1" ref="Y15" ca="1">INDIRECT("RawData!"&amp;ADDRESS($C$5+$A15,Y$6))</f>
        <v>18.710999999999999</v>
      </c>
      <c r="Z15" s="1" cm="1">
        <f t="array" aca="1" ref="Z15" ca="1">INDIRECT("RawData!"&amp;ADDRESS($C$5+$A15,Z$6))</f>
        <v>4.1020000000000001E-2</v>
      </c>
      <c r="AA15" s="1" cm="1">
        <f t="array" aca="1" ref="AA15" ca="1">INDIRECT("RawData!"&amp;ADDRESS($C$5+$A15,AA$6))</f>
        <v>6.4900000000000001E-3</v>
      </c>
    </row>
    <row r="16" spans="1:29" x14ac:dyDescent="0.3">
      <c r="A16" s="1">
        <v>5</v>
      </c>
      <c r="C16" s="1" t="str" cm="1">
        <f t="array" aca="1" ref="C16" ca="1">INDIRECT("RawData!A"&amp;TEXT(C$5+A16,"0"))</f>
        <v>Test4/gpp_o3.x</v>
      </c>
      <c r="D16" s="1" cm="1">
        <f t="array" aca="1" ref="D16" ca="1">INDIRECT("RawData!"&amp;ADDRESS($C$5+$A16,D$6))</f>
        <v>6.9989999999999997</v>
      </c>
      <c r="E16" s="1" cm="1">
        <f t="array" aca="1" ref="E16" ca="1">INDIRECT("RawData!"&amp;ADDRESS($C$5+$A16,E$6))</f>
        <v>0.11691</v>
      </c>
      <c r="F16" s="1" cm="1">
        <f t="array" aca="1" ref="F16" ca="1">INDIRECT("RawData!"&amp;ADDRESS($C$5+$A16,F$6))</f>
        <v>1.8489999999999999E-2</v>
      </c>
      <c r="G16" s="1" cm="1">
        <f t="array" aca="1" ref="G16" ca="1">INDIRECT("RawData!"&amp;ADDRESS($C$5+$A16,G$6))</f>
        <v>6.9909999999999997</v>
      </c>
      <c r="H16" s="1" cm="1">
        <f t="array" aca="1" ref="H16" ca="1">INDIRECT("RawData!"&amp;ADDRESS($C$5+$A16,H$6))</f>
        <v>0.17297999999999999</v>
      </c>
      <c r="I16" s="1" cm="1">
        <f t="array" aca="1" ref="I16" ca="1">INDIRECT("RawData!"&amp;ADDRESS($C$5+$A16,I$6))</f>
        <v>2.7349999999999999E-2</v>
      </c>
      <c r="J16" s="1" cm="1">
        <f t="array" aca="1" ref="J16" ca="1">INDIRECT("RawData!"&amp;ADDRESS($C$5+$A16,J$6))</f>
        <v>18.855</v>
      </c>
      <c r="K16" s="1" cm="1">
        <f t="array" aca="1" ref="K16" ca="1">INDIRECT("RawData!"&amp;ADDRESS($C$5+$A16,K$6))</f>
        <v>6.0789999999999997E-2</v>
      </c>
      <c r="L16" s="1" cm="1">
        <f t="array" aca="1" ref="L16" ca="1">INDIRECT("RawData!"&amp;ADDRESS($C$5+$A16,L$6))</f>
        <v>9.6100000000000005E-3</v>
      </c>
      <c r="M16" s="1" cm="1">
        <f t="array" aca="1" ref="M16" ca="1">INDIRECT("RawData!"&amp;ADDRESS($C$5+$A16,M$6))</f>
        <v>8.1129999999999995</v>
      </c>
      <c r="N16" s="1" cm="1">
        <f t="array" aca="1" ref="N16" ca="1">INDIRECT("RawData!"&amp;ADDRESS($C$5+$A16,N$6))</f>
        <v>0.1065</v>
      </c>
      <c r="O16" s="1" cm="1">
        <f t="array" aca="1" ref="O16" ca="1">INDIRECT("RawData!"&amp;ADDRESS($C$5+$A16,O$6))</f>
        <v>1.6840000000000001E-2</v>
      </c>
      <c r="P16" s="1" cm="1">
        <f t="array" aca="1" ref="P16" ca="1">INDIRECT("RawData!"&amp;ADDRESS($C$5+$A16,P$6))</f>
        <v>12.221</v>
      </c>
      <c r="Q16" s="1" cm="1">
        <f t="array" aca="1" ref="Q16" ca="1">INDIRECT("RawData!"&amp;ADDRESS($C$5+$A16,Q$6))</f>
        <v>0.69159999999999999</v>
      </c>
      <c r="R16" s="1" cm="1">
        <f t="array" aca="1" ref="R16" ca="1">INDIRECT("RawData!"&amp;ADDRESS($C$5+$A16,R$6))</f>
        <v>0.10935</v>
      </c>
      <c r="S16" s="1" cm="1">
        <f t="array" aca="1" ref="S16" ca="1">INDIRECT("RawData!"&amp;ADDRESS($C$5+$A16,S$6))</f>
        <v>10.807</v>
      </c>
      <c r="T16" s="1" cm="1">
        <f t="array" aca="1" ref="T16" ca="1">INDIRECT("RawData!"&amp;ADDRESS($C$5+$A16,T$6))</f>
        <v>1.09711</v>
      </c>
      <c r="U16" s="1" cm="1">
        <f t="array" aca="1" ref="U16" ca="1">INDIRECT("RawData!"&amp;ADDRESS($C$5+$A16,U$6))</f>
        <v>0.17347000000000001</v>
      </c>
      <c r="V16" s="1" cm="1">
        <f t="array" aca="1" ref="V16" ca="1">INDIRECT("RawData!"&amp;ADDRESS($C$5+$A16,V$6))</f>
        <v>12.484999999999999</v>
      </c>
      <c r="W16" s="1" cm="1">
        <f t="array" aca="1" ref="W16" ca="1">INDIRECT("RawData!"&amp;ADDRESS($C$5+$A16,W$6))</f>
        <v>0.16202</v>
      </c>
      <c r="X16" s="1" cm="1">
        <f t="array" aca="1" ref="X16" ca="1">INDIRECT("RawData!"&amp;ADDRESS($C$5+$A16,X$6))</f>
        <v>2.562E-2</v>
      </c>
      <c r="Y16" s="1" cm="1">
        <f t="array" aca="1" ref="Y16" ca="1">INDIRECT("RawData!"&amp;ADDRESS($C$5+$A16,Y$6))</f>
        <v>9.5969999999999995</v>
      </c>
      <c r="Z16" s="1" cm="1">
        <f t="array" aca="1" ref="Z16" ca="1">INDIRECT("RawData!"&amp;ADDRESS($C$5+$A16,Z$6))</f>
        <v>7.5819999999999999E-2</v>
      </c>
      <c r="AA16" s="1" cm="1">
        <f t="array" aca="1" ref="AA16" ca="1">INDIRECT("RawData!"&amp;ADDRESS($C$5+$A16,AA$6))</f>
        <v>1.1990000000000001E-2</v>
      </c>
    </row>
    <row r="17" spans="1:27" x14ac:dyDescent="0.3">
      <c r="A17" s="1">
        <v>6</v>
      </c>
      <c r="C17" s="1" t="str" cm="1">
        <f t="array" aca="1" ref="C17" ca="1">INDIRECT("RawData!A"&amp;TEXT(C$5+A17,"0"))</f>
        <v>Test4/icx.x</v>
      </c>
      <c r="D17" s="1" cm="1">
        <f t="array" aca="1" ref="D17" ca="1">INDIRECT("RawData!"&amp;ADDRESS($C$5+$A17,D$6))</f>
        <v>4.4729999999999999</v>
      </c>
      <c r="E17" s="1" cm="1">
        <f t="array" aca="1" ref="E17" ca="1">INDIRECT("RawData!"&amp;ADDRESS($C$5+$A17,E$6))</f>
        <v>0.17274999999999999</v>
      </c>
      <c r="F17" s="1" cm="1">
        <f t="array" aca="1" ref="F17" ca="1">INDIRECT("RawData!"&amp;ADDRESS($C$5+$A17,F$6))</f>
        <v>2.7310000000000001E-2</v>
      </c>
      <c r="G17" s="1" cm="1">
        <f t="array" aca="1" ref="G17" ca="1">INDIRECT("RawData!"&amp;ADDRESS($C$5+$A17,G$6))</f>
        <v>4.0730000000000004</v>
      </c>
      <c r="H17" s="1" cm="1">
        <f t="array" aca="1" ref="H17" ca="1">INDIRECT("RawData!"&amp;ADDRESS($C$5+$A17,H$6))</f>
        <v>0.29670000000000002</v>
      </c>
      <c r="I17" s="1" cm="1">
        <f t="array" aca="1" ref="I17" ca="1">INDIRECT("RawData!"&amp;ADDRESS($C$5+$A17,I$6))</f>
        <v>4.691E-2</v>
      </c>
      <c r="J17" s="1" cm="1">
        <f t="array" aca="1" ref="J17" ca="1">INDIRECT("RawData!"&amp;ADDRESS($C$5+$A17,J$6))</f>
        <v>1.9</v>
      </c>
      <c r="K17" s="1" cm="1">
        <f t="array" aca="1" ref="K17" ca="1">INDIRECT("RawData!"&amp;ADDRESS($C$5+$A17,K$6))</f>
        <v>0.12055</v>
      </c>
      <c r="L17" s="1" cm="1">
        <f t="array" aca="1" ref="L17" ca="1">INDIRECT("RawData!"&amp;ADDRESS($C$5+$A17,L$6))</f>
        <v>1.9060000000000001E-2</v>
      </c>
      <c r="M17" s="1" cm="1">
        <f t="array" aca="1" ref="M17" ca="1">INDIRECT("RawData!"&amp;ADDRESS($C$5+$A17,M$6))</f>
        <v>1.8839999999999999</v>
      </c>
      <c r="N17" s="1" cm="1">
        <f t="array" aca="1" ref="N17" ca="1">INDIRECT("RawData!"&amp;ADDRESS($C$5+$A17,N$6))</f>
        <v>0.14388000000000001</v>
      </c>
      <c r="O17" s="1" cm="1">
        <f t="array" aca="1" ref="O17" ca="1">INDIRECT("RawData!"&amp;ADDRESS($C$5+$A17,O$6))</f>
        <v>2.2749999999999999E-2</v>
      </c>
      <c r="P17" s="1" cm="1">
        <f t="array" aca="1" ref="P17" ca="1">INDIRECT("RawData!"&amp;ADDRESS($C$5+$A17,P$6))</f>
        <v>0</v>
      </c>
      <c r="Q17" s="1" cm="1">
        <f t="array" aca="1" ref="Q17" ca="1">INDIRECT("RawData!"&amp;ADDRESS($C$5+$A17,Q$6))</f>
        <v>0</v>
      </c>
      <c r="R17" s="1" cm="1">
        <f t="array" aca="1" ref="R17" ca="1">INDIRECT("RawData!"&amp;ADDRESS($C$5+$A17,R$6))</f>
        <v>0</v>
      </c>
      <c r="S17" s="1" cm="1">
        <f t="array" aca="1" ref="S17" ca="1">INDIRECT("RawData!"&amp;ADDRESS($C$5+$A17,S$6))</f>
        <v>0</v>
      </c>
      <c r="T17" s="1" cm="1">
        <f t="array" aca="1" ref="T17" ca="1">INDIRECT("RawData!"&amp;ADDRESS($C$5+$A17,T$6))</f>
        <v>0</v>
      </c>
      <c r="U17" s="1" cm="1">
        <f t="array" aca="1" ref="U17" ca="1">INDIRECT("RawData!"&amp;ADDRESS($C$5+$A17,U$6))</f>
        <v>0</v>
      </c>
      <c r="V17" s="1" cm="1">
        <f t="array" aca="1" ref="V17" ca="1">INDIRECT("RawData!"&amp;ADDRESS($C$5+$A17,V$6))</f>
        <v>5.4489999999999998</v>
      </c>
      <c r="W17" s="1" cm="1">
        <f t="array" aca="1" ref="W17" ca="1">INDIRECT("RawData!"&amp;ADDRESS($C$5+$A17,W$6))</f>
        <v>0.21173</v>
      </c>
      <c r="X17" s="1" cm="1">
        <f t="array" aca="1" ref="X17" ca="1">INDIRECT("RawData!"&amp;ADDRESS($C$5+$A17,X$6))</f>
        <v>3.3480000000000003E-2</v>
      </c>
      <c r="Y17" s="1" cm="1">
        <f t="array" aca="1" ref="Y17" ca="1">INDIRECT("RawData!"&amp;ADDRESS($C$5+$A17,Y$6))</f>
        <v>4.6479999999999997</v>
      </c>
      <c r="Z17" s="1" cm="1">
        <f t="array" aca="1" ref="Z17" ca="1">INDIRECT("RawData!"&amp;ADDRESS($C$5+$A17,Z$6))</f>
        <v>6.2449999999999999E-2</v>
      </c>
      <c r="AA17" s="1" cm="1">
        <f t="array" aca="1" ref="AA17" ca="1">INDIRECT("RawData!"&amp;ADDRESS($C$5+$A17,AA$6))</f>
        <v>9.8700000000000003E-3</v>
      </c>
    </row>
    <row r="18" spans="1:27" x14ac:dyDescent="0.3">
      <c r="A18" s="1">
        <v>7</v>
      </c>
      <c r="C18" s="1" t="str" cm="1">
        <f t="array" aca="1" ref="C18" ca="1">INDIRECT("RawData!A"&amp;TEXT(C$5+A18,"0"))</f>
        <v>Test4/icx_o3.x</v>
      </c>
      <c r="D18" s="1" cm="1">
        <f t="array" aca="1" ref="D18" ca="1">INDIRECT("RawData!"&amp;ADDRESS($C$5+$A18,D$6))</f>
        <v>4.3719999999999999</v>
      </c>
      <c r="E18" s="1" cm="1">
        <f t="array" aca="1" ref="E18" ca="1">INDIRECT("RawData!"&amp;ADDRESS($C$5+$A18,E$6))</f>
        <v>0.18951999999999999</v>
      </c>
      <c r="F18" s="1" cm="1">
        <f t="array" aca="1" ref="F18" ca="1">INDIRECT("RawData!"&amp;ADDRESS($C$5+$A18,F$6))</f>
        <v>2.997E-2</v>
      </c>
      <c r="G18" s="1" cm="1">
        <f t="array" aca="1" ref="G18" ca="1">INDIRECT("RawData!"&amp;ADDRESS($C$5+$A18,G$6))</f>
        <v>4.1269999999999998</v>
      </c>
      <c r="H18" s="1" cm="1">
        <f t="array" aca="1" ref="H18" ca="1">INDIRECT("RawData!"&amp;ADDRESS($C$5+$A18,H$6))</f>
        <v>0.32347999999999999</v>
      </c>
      <c r="I18" s="1" cm="1">
        <f t="array" aca="1" ref="I18" ca="1">INDIRECT("RawData!"&amp;ADDRESS($C$5+$A18,I$6))</f>
        <v>5.1150000000000001E-2</v>
      </c>
      <c r="J18" s="1" cm="1">
        <f t="array" aca="1" ref="J18" ca="1">INDIRECT("RawData!"&amp;ADDRESS($C$5+$A18,J$6))</f>
        <v>1.9370000000000001</v>
      </c>
      <c r="K18" s="1" cm="1">
        <f t="array" aca="1" ref="K18" ca="1">INDIRECT("RawData!"&amp;ADDRESS($C$5+$A18,K$6))</f>
        <v>0.15568000000000001</v>
      </c>
      <c r="L18" s="1" cm="1">
        <f t="array" aca="1" ref="L18" ca="1">INDIRECT("RawData!"&amp;ADDRESS($C$5+$A18,L$6))</f>
        <v>2.462E-2</v>
      </c>
      <c r="M18" s="1" cm="1">
        <f t="array" aca="1" ref="M18" ca="1">INDIRECT("RawData!"&amp;ADDRESS($C$5+$A18,M$6))</f>
        <v>1.8480000000000001</v>
      </c>
      <c r="N18" s="1" cm="1">
        <f t="array" aca="1" ref="N18" ca="1">INDIRECT("RawData!"&amp;ADDRESS($C$5+$A18,N$6))</f>
        <v>0.14011999999999999</v>
      </c>
      <c r="O18" s="1" cm="1">
        <f t="array" aca="1" ref="O18" ca="1">INDIRECT("RawData!"&amp;ADDRESS($C$5+$A18,O$6))</f>
        <v>2.215E-2</v>
      </c>
      <c r="P18" s="1" cm="1">
        <f t="array" aca="1" ref="P18" ca="1">INDIRECT("RawData!"&amp;ADDRESS($C$5+$A18,P$6))</f>
        <v>0</v>
      </c>
      <c r="Q18" s="1" cm="1">
        <f t="array" aca="1" ref="Q18" ca="1">INDIRECT("RawData!"&amp;ADDRESS($C$5+$A18,Q$6))</f>
        <v>0</v>
      </c>
      <c r="R18" s="1" cm="1">
        <f t="array" aca="1" ref="R18" ca="1">INDIRECT("RawData!"&amp;ADDRESS($C$5+$A18,R$6))</f>
        <v>0</v>
      </c>
      <c r="S18" s="1" cm="1">
        <f t="array" aca="1" ref="S18" ca="1">INDIRECT("RawData!"&amp;ADDRESS($C$5+$A18,S$6))</f>
        <v>0</v>
      </c>
      <c r="T18" s="1" cm="1">
        <f t="array" aca="1" ref="T18" ca="1">INDIRECT("RawData!"&amp;ADDRESS($C$5+$A18,T$6))</f>
        <v>0</v>
      </c>
      <c r="U18" s="1" cm="1">
        <f t="array" aca="1" ref="U18" ca="1">INDIRECT("RawData!"&amp;ADDRESS($C$5+$A18,U$6))</f>
        <v>0</v>
      </c>
      <c r="V18" s="1" cm="1">
        <f t="array" aca="1" ref="V18" ca="1">INDIRECT("RawData!"&amp;ADDRESS($C$5+$A18,V$6))</f>
        <v>5.4420000000000002</v>
      </c>
      <c r="W18" s="1" cm="1">
        <f t="array" aca="1" ref="W18" ca="1">INDIRECT("RawData!"&amp;ADDRESS($C$5+$A18,W$6))</f>
        <v>0.20793</v>
      </c>
      <c r="X18" s="1" cm="1">
        <f t="array" aca="1" ref="X18" ca="1">INDIRECT("RawData!"&amp;ADDRESS($C$5+$A18,X$6))</f>
        <v>3.288E-2</v>
      </c>
      <c r="Y18" s="1" cm="1">
        <f t="array" aca="1" ref="Y18" ca="1">INDIRECT("RawData!"&amp;ADDRESS($C$5+$A18,Y$6))</f>
        <v>4.649</v>
      </c>
      <c r="Z18" s="1" cm="1">
        <f t="array" aca="1" ref="Z18" ca="1">INDIRECT("RawData!"&amp;ADDRESS($C$5+$A18,Z$6))</f>
        <v>6.5250000000000002E-2</v>
      </c>
      <c r="AA18" s="1" cm="1">
        <f t="array" aca="1" ref="AA18" ca="1">INDIRECT("RawData!"&amp;ADDRESS($C$5+$A18,AA$6))</f>
        <v>1.0319999999999999E-2</v>
      </c>
    </row>
    <row r="19" spans="1:27" x14ac:dyDescent="0.3">
      <c r="A19" s="1">
        <v>8</v>
      </c>
    </row>
    <row r="20" spans="1:27" x14ac:dyDescent="0.3">
      <c r="A20" s="1">
        <v>9</v>
      </c>
    </row>
    <row r="21" spans="1:27" x14ac:dyDescent="0.3">
      <c r="A21" s="1">
        <v>10</v>
      </c>
    </row>
    <row r="22" spans="1:27" x14ac:dyDescent="0.3">
      <c r="A22" s="1">
        <v>11</v>
      </c>
    </row>
    <row r="23" spans="1:27" x14ac:dyDescent="0.3">
      <c r="A23" s="1">
        <v>12</v>
      </c>
    </row>
    <row r="24" spans="1:27" x14ac:dyDescent="0.3">
      <c r="A24" s="1">
        <v>13</v>
      </c>
    </row>
    <row r="25" spans="1:27" x14ac:dyDescent="0.3">
      <c r="A25" s="1">
        <v>14</v>
      </c>
    </row>
    <row r="26" spans="1:27" x14ac:dyDescent="0.3">
      <c r="A26" s="1">
        <v>15</v>
      </c>
    </row>
    <row r="27" spans="1:27" x14ac:dyDescent="0.3">
      <c r="A27" s="1">
        <v>16</v>
      </c>
    </row>
    <row r="28" spans="1:27" x14ac:dyDescent="0.3">
      <c r="A28" s="1">
        <v>17</v>
      </c>
    </row>
    <row r="29" spans="1:27" x14ac:dyDescent="0.3">
      <c r="A29" s="1">
        <v>18</v>
      </c>
    </row>
    <row r="30" spans="1:27" x14ac:dyDescent="0.3">
      <c r="A30" s="1">
        <v>19</v>
      </c>
    </row>
    <row r="31" spans="1:27" x14ac:dyDescent="0.3">
      <c r="A31" s="1">
        <v>20</v>
      </c>
    </row>
    <row r="32" spans="1:27" x14ac:dyDescent="0.3">
      <c r="A32" s="1">
        <v>21</v>
      </c>
    </row>
    <row r="33" spans="1:27" x14ac:dyDescent="0.3">
      <c r="A33" s="1">
        <v>22</v>
      </c>
    </row>
    <row r="34" spans="1:27" x14ac:dyDescent="0.3">
      <c r="A34" s="1">
        <v>23</v>
      </c>
    </row>
    <row r="35" spans="1:27" x14ac:dyDescent="0.3">
      <c r="A35" s="1">
        <v>24</v>
      </c>
    </row>
    <row r="36" spans="1:27" x14ac:dyDescent="0.3">
      <c r="A36" s="1">
        <v>1</v>
      </c>
      <c r="B36" s="1">
        <v>2</v>
      </c>
      <c r="C36" s="1">
        <v>3</v>
      </c>
      <c r="D36" s="1">
        <v>4</v>
      </c>
      <c r="E36" s="1">
        <v>5</v>
      </c>
      <c r="F36" s="1">
        <v>6</v>
      </c>
      <c r="G36" s="1">
        <v>7</v>
      </c>
      <c r="H36" s="1">
        <v>8</v>
      </c>
      <c r="I36" s="1">
        <v>9</v>
      </c>
      <c r="J36" s="1">
        <v>10</v>
      </c>
      <c r="K36" s="1">
        <v>11</v>
      </c>
      <c r="L36" s="1">
        <v>12</v>
      </c>
      <c r="M36" s="1">
        <v>13</v>
      </c>
      <c r="N36" s="1">
        <v>14</v>
      </c>
      <c r="O36" s="1">
        <v>15</v>
      </c>
      <c r="P36" s="1">
        <v>16</v>
      </c>
      <c r="Q36" s="1">
        <v>17</v>
      </c>
      <c r="R36" s="1">
        <v>18</v>
      </c>
      <c r="S36" s="1">
        <v>19</v>
      </c>
      <c r="T36" s="1">
        <v>20</v>
      </c>
      <c r="U36" s="1">
        <v>21</v>
      </c>
      <c r="V36" s="1">
        <v>22</v>
      </c>
      <c r="W36" s="1">
        <v>23</v>
      </c>
      <c r="X36" s="1">
        <v>24</v>
      </c>
      <c r="Y36" s="1">
        <v>25</v>
      </c>
      <c r="Z36" s="1">
        <v>26</v>
      </c>
      <c r="AA36" s="1">
        <v>27</v>
      </c>
    </row>
    <row r="37" spans="1:27" ht="50" x14ac:dyDescent="0.3">
      <c r="C37" s="4" t="s">
        <v>140</v>
      </c>
      <c r="D37" s="3" t="s">
        <v>137</v>
      </c>
      <c r="G37" s="3" t="s">
        <v>143</v>
      </c>
      <c r="J37" s="3" t="s">
        <v>138</v>
      </c>
      <c r="M37" s="3" t="s">
        <v>144</v>
      </c>
      <c r="P37" s="3" t="s">
        <v>139</v>
      </c>
      <c r="S37" s="3" t="s">
        <v>145</v>
      </c>
      <c r="V37" s="3" t="s">
        <v>147</v>
      </c>
      <c r="Y37" s="3" t="s">
        <v>146</v>
      </c>
    </row>
    <row r="38" spans="1:27" x14ac:dyDescent="0.3">
      <c r="A38" s="1">
        <v>0</v>
      </c>
      <c r="C38" s="1" t="str">
        <f ca="1">MID(C11,FIND("/",C11)+1,1000)</f>
        <v>gfortran.x</v>
      </c>
      <c r="D38" s="1">
        <f ca="1">D11</f>
        <v>7.0369999999999999</v>
      </c>
      <c r="E38" s="1">
        <f ca="1">IF(D11=0,0,E11*100/D11)</f>
        <v>2.1260480318317465</v>
      </c>
      <c r="F38" s="1">
        <f ca="1">IF(D11=0,0,F11*100/D11)</f>
        <v>0.33608071621429592</v>
      </c>
      <c r="G38" s="1">
        <f t="shared" ref="G38:AA45" ca="1" si="0">G11</f>
        <v>7.1120000000000001</v>
      </c>
      <c r="H38" s="1">
        <f t="shared" ref="H38:AA45" ca="1" si="1">IF(G11=0,0,H11*100/G11)</f>
        <v>3.3285995500562429</v>
      </c>
      <c r="I38" s="1">
        <f t="shared" ref="I38:I45" ca="1" si="2">IF(G11=0,0,I11*100/G11)</f>
        <v>0.52629358830146233</v>
      </c>
      <c r="J38" s="1">
        <f t="shared" ref="J38:AA38" ca="1" si="3">J11</f>
        <v>5.4020000000000001</v>
      </c>
      <c r="K38" s="1">
        <f t="shared" ref="K38:AA38" ca="1" si="4">IF(J11=0,0,K11*100/J11)</f>
        <v>0.38430211032950762</v>
      </c>
      <c r="L38" s="1">
        <f t="shared" ref="L38:L45" ca="1" si="5">IF(J11=0,0,L11*100/J11)</f>
        <v>6.0718252499074421E-2</v>
      </c>
      <c r="M38" s="1">
        <f t="shared" ref="M38:AA38" ca="1" si="6">M11</f>
        <v>5.4029999999999996</v>
      </c>
      <c r="N38" s="1">
        <f t="shared" ref="N38:AA38" ca="1" si="7">IF(M11=0,0,N11*100/M11)</f>
        <v>0.34184712196927636</v>
      </c>
      <c r="O38" s="1">
        <f t="shared" ref="O38:O45" ca="1" si="8">IF(M11=0,0,O11*100/M11)</f>
        <v>5.4044049602072923E-2</v>
      </c>
      <c r="P38" s="1">
        <f t="shared" ref="P38:AA38" ca="1" si="9">P11</f>
        <v>12.18</v>
      </c>
      <c r="Q38" s="1">
        <f t="shared" ref="Q38:AA38" ca="1" si="10">IF(P11=0,0,Q11*100/P11)</f>
        <v>6.2323481116584567</v>
      </c>
      <c r="R38" s="1">
        <f t="shared" ref="R38:R45" ca="1" si="11">IF(P11=0,0,R11*100/P11)</f>
        <v>0.98538587848932679</v>
      </c>
      <c r="S38" s="1">
        <f t="shared" ref="S38:AA38" ca="1" si="12">S11</f>
        <v>12.356</v>
      </c>
      <c r="T38" s="1">
        <f t="shared" ref="T38:AA38" ca="1" si="13">IF(S11=0,0,T11*100/S11)</f>
        <v>6.0084169634185818</v>
      </c>
      <c r="U38" s="1">
        <f t="shared" ref="U38:U45" ca="1" si="14">IF(S11=0,0,U11*100/S11)</f>
        <v>0.94998381353188732</v>
      </c>
      <c r="V38" s="1">
        <f t="shared" ref="V38:AA38" ca="1" si="15">V11</f>
        <v>6.5410000000000004</v>
      </c>
      <c r="W38" s="1">
        <f t="shared" ref="W38:AA38" ca="1" si="16">IF(V11=0,0,W11*100/V11)</f>
        <v>1.2794679712582173</v>
      </c>
      <c r="X38" s="1">
        <f t="shared" ref="X38:X45" ca="1" si="17">IF(V11=0,0,X11*100/V11)</f>
        <v>0.20226265097079954</v>
      </c>
      <c r="Y38" s="1">
        <f t="shared" ref="Y38:AA38" ca="1" si="18">Y11</f>
        <v>6.577</v>
      </c>
      <c r="Z38" s="1">
        <f t="shared" ref="Z38:AA38" ca="1" si="19">IF(Y11=0,0,Z11*100/Y11)</f>
        <v>0.78318382241143381</v>
      </c>
      <c r="AA38" s="1">
        <f t="shared" ref="AA38:AA45" ca="1" si="20">IF(Y11=0,0,AA11*100/Y11)</f>
        <v>0.1237646343317622</v>
      </c>
    </row>
    <row r="39" spans="1:27" x14ac:dyDescent="0.3">
      <c r="A39" s="1">
        <v>1</v>
      </c>
      <c r="C39" s="1" t="str">
        <f t="shared" ref="C39:C45" ca="1" si="21">MID(C12,FIND("/",C12)+1,1000)</f>
        <v>gfortran_o3.x</v>
      </c>
      <c r="D39" s="1">
        <f t="shared" ref="D39:D45" ca="1" si="22">D12</f>
        <v>7.02</v>
      </c>
      <c r="E39" s="1">
        <f t="shared" ref="E39:E45" ca="1" si="23">IF(D12=0,0,E12*100/D12)</f>
        <v>2.3351851851851855</v>
      </c>
      <c r="F39" s="1">
        <f t="shared" ref="F39:F45" ca="1" si="24">IF(D12=0,0,F12*100/D12)</f>
        <v>0.3692307692307692</v>
      </c>
      <c r="G39" s="1">
        <f t="shared" ca="1" si="0"/>
        <v>6.9450000000000003</v>
      </c>
      <c r="H39" s="1">
        <f t="shared" ca="1" si="1"/>
        <v>2.2994960403167748</v>
      </c>
      <c r="I39" s="1">
        <f t="shared" ca="1" si="2"/>
        <v>0.3635709143268539</v>
      </c>
      <c r="J39" s="1">
        <f t="shared" ca="1" si="0"/>
        <v>5.431</v>
      </c>
      <c r="K39" s="1">
        <f t="shared" ca="1" si="1"/>
        <v>0.48665070889338974</v>
      </c>
      <c r="L39" s="1">
        <f t="shared" ca="1" si="5"/>
        <v>7.6965568035352608E-2</v>
      </c>
      <c r="M39" s="1">
        <f t="shared" ca="1" si="0"/>
        <v>5.4009999999999998</v>
      </c>
      <c r="N39" s="1">
        <f t="shared" ca="1" si="1"/>
        <v>0.42362525458248479</v>
      </c>
      <c r="O39" s="1">
        <f t="shared" ca="1" si="8"/>
        <v>6.702462506943159E-2</v>
      </c>
      <c r="P39" s="1">
        <f t="shared" ca="1" si="0"/>
        <v>12.202999999999999</v>
      </c>
      <c r="Q39" s="1">
        <f t="shared" ca="1" si="1"/>
        <v>7.1064492337949687</v>
      </c>
      <c r="R39" s="1">
        <f t="shared" ca="1" si="11"/>
        <v>1.1236581168565107</v>
      </c>
      <c r="S39" s="1">
        <f t="shared" ca="1" si="0"/>
        <v>12.53</v>
      </c>
      <c r="T39" s="1">
        <f t="shared" ca="1" si="1"/>
        <v>20.708220271348765</v>
      </c>
      <c r="U39" s="1">
        <f t="shared" ca="1" si="14"/>
        <v>3.2742218675179573</v>
      </c>
      <c r="V39" s="1">
        <f t="shared" ca="1" si="0"/>
        <v>6.5289999999999999</v>
      </c>
      <c r="W39" s="1">
        <f t="shared" ca="1" si="1"/>
        <v>0.99264818502067709</v>
      </c>
      <c r="X39" s="1">
        <f t="shared" ca="1" si="17"/>
        <v>0.15699188237096035</v>
      </c>
      <c r="Y39" s="1">
        <f t="shared" ca="1" si="0"/>
        <v>6.5529999999999999</v>
      </c>
      <c r="Z39" s="1">
        <f t="shared" ca="1" si="1"/>
        <v>0.65328857012055541</v>
      </c>
      <c r="AA39" s="1">
        <f t="shared" ca="1" si="20"/>
        <v>0.10331146039981688</v>
      </c>
    </row>
    <row r="40" spans="1:27" x14ac:dyDescent="0.3">
      <c r="A40" s="1">
        <v>2</v>
      </c>
      <c r="C40" s="1" t="str">
        <f t="shared" ca="1" si="21"/>
        <v>ifx.x</v>
      </c>
      <c r="D40" s="1">
        <f t="shared" ca="1" si="22"/>
        <v>7.3250000000000002</v>
      </c>
      <c r="E40" s="1">
        <f t="shared" ca="1" si="23"/>
        <v>28.39972696245734</v>
      </c>
      <c r="F40" s="1">
        <f t="shared" ca="1" si="24"/>
        <v>4.49037542662116</v>
      </c>
      <c r="G40" s="1">
        <f t="shared" ca="1" si="0"/>
        <v>4.0250000000000004</v>
      </c>
      <c r="H40" s="1">
        <f t="shared" ca="1" si="1"/>
        <v>28.956024844720496</v>
      </c>
      <c r="I40" s="1">
        <f t="shared" ca="1" si="2"/>
        <v>4.5783850931677019</v>
      </c>
      <c r="J40" s="1">
        <f t="shared" ca="1" si="0"/>
        <v>5.4109999999999996</v>
      </c>
      <c r="K40" s="1">
        <f t="shared" ca="1" si="1"/>
        <v>0.610608020698577</v>
      </c>
      <c r="L40" s="1">
        <f t="shared" ca="1" si="5"/>
        <v>9.6470153391240071E-2</v>
      </c>
      <c r="M40" s="1">
        <f t="shared" ca="1" si="0"/>
        <v>1.9870000000000001</v>
      </c>
      <c r="N40" s="1">
        <f t="shared" ca="1" si="1"/>
        <v>6.487166582788122</v>
      </c>
      <c r="O40" s="1">
        <f t="shared" ca="1" si="8"/>
        <v>1.0256668344237543</v>
      </c>
      <c r="P40" s="1">
        <f t="shared" ca="1" si="0"/>
        <v>0</v>
      </c>
      <c r="Q40" s="1">
        <f t="shared" ca="1" si="1"/>
        <v>0</v>
      </c>
      <c r="R40" s="1">
        <f t="shared" ca="1" si="11"/>
        <v>0</v>
      </c>
      <c r="S40" s="1">
        <f t="shared" ca="1" si="0"/>
        <v>0</v>
      </c>
      <c r="T40" s="1">
        <f t="shared" ca="1" si="1"/>
        <v>0</v>
      </c>
      <c r="U40" s="1">
        <f t="shared" ca="1" si="14"/>
        <v>0</v>
      </c>
      <c r="V40" s="1">
        <f t="shared" ca="1" si="0"/>
        <v>6.54</v>
      </c>
      <c r="W40" s="1">
        <f t="shared" ca="1" si="1"/>
        <v>1.0977064220183486</v>
      </c>
      <c r="X40" s="1">
        <f t="shared" ca="1" si="17"/>
        <v>0.1735474006116208</v>
      </c>
      <c r="Y40" s="1">
        <f t="shared" ca="1" si="0"/>
        <v>4.5979999999999999</v>
      </c>
      <c r="Z40" s="1">
        <f t="shared" ca="1" si="1"/>
        <v>1.2368421052631577</v>
      </c>
      <c r="AA40" s="1">
        <f t="shared" ca="1" si="20"/>
        <v>0.19551979121357113</v>
      </c>
    </row>
    <row r="41" spans="1:27" x14ac:dyDescent="0.3">
      <c r="A41" s="1">
        <v>3</v>
      </c>
      <c r="C41" s="1" t="str">
        <f t="shared" ca="1" si="21"/>
        <v>ifx_o3.x</v>
      </c>
      <c r="D41" s="1">
        <f t="shared" ca="1" si="22"/>
        <v>7.1</v>
      </c>
      <c r="E41" s="1">
        <f t="shared" ca="1" si="23"/>
        <v>11.848450704225352</v>
      </c>
      <c r="F41" s="1">
        <f t="shared" ca="1" si="24"/>
        <v>1.8733802816901408</v>
      </c>
      <c r="G41" s="1">
        <f t="shared" ca="1" si="0"/>
        <v>4.3</v>
      </c>
      <c r="H41" s="1">
        <f t="shared" ca="1" si="1"/>
        <v>33.390930232558148</v>
      </c>
      <c r="I41" s="1">
        <f t="shared" ca="1" si="2"/>
        <v>5.2795348837209302</v>
      </c>
      <c r="J41" s="1">
        <f t="shared" ca="1" si="0"/>
        <v>5.4139999999999997</v>
      </c>
      <c r="K41" s="1">
        <f t="shared" ca="1" si="1"/>
        <v>0.35278906538603622</v>
      </c>
      <c r="L41" s="1">
        <f t="shared" ca="1" si="5"/>
        <v>5.5781307720724052E-2</v>
      </c>
      <c r="M41" s="1">
        <f t="shared" ca="1" si="0"/>
        <v>1.9330000000000001</v>
      </c>
      <c r="N41" s="1">
        <f t="shared" ca="1" si="1"/>
        <v>5.6109674081738232</v>
      </c>
      <c r="O41" s="1">
        <f t="shared" ca="1" si="8"/>
        <v>0.88722193481634759</v>
      </c>
      <c r="P41" s="1">
        <f t="shared" ca="1" si="0"/>
        <v>0</v>
      </c>
      <c r="Q41" s="1">
        <f t="shared" ca="1" si="1"/>
        <v>0</v>
      </c>
      <c r="R41" s="1">
        <f t="shared" ca="1" si="11"/>
        <v>0</v>
      </c>
      <c r="S41" s="1">
        <f t="shared" ca="1" si="0"/>
        <v>0</v>
      </c>
      <c r="T41" s="1">
        <f t="shared" ca="1" si="1"/>
        <v>0</v>
      </c>
      <c r="U41" s="1">
        <f t="shared" ca="1" si="14"/>
        <v>0</v>
      </c>
      <c r="V41" s="1">
        <f t="shared" ca="1" si="0"/>
        <v>6.548</v>
      </c>
      <c r="W41" s="1">
        <f t="shared" ca="1" si="1"/>
        <v>1.0073304825901039</v>
      </c>
      <c r="X41" s="1">
        <f t="shared" ca="1" si="17"/>
        <v>0.15928527794746486</v>
      </c>
      <c r="Y41" s="1">
        <f t="shared" ca="1" si="0"/>
        <v>4.5960000000000001</v>
      </c>
      <c r="Z41" s="1">
        <f t="shared" ca="1" si="1"/>
        <v>1.1370757180156659</v>
      </c>
      <c r="AA41" s="1">
        <f t="shared" ca="1" si="20"/>
        <v>0.17972149695387293</v>
      </c>
    </row>
    <row r="42" spans="1:27" x14ac:dyDescent="0.3">
      <c r="A42" s="1">
        <v>4</v>
      </c>
      <c r="C42" s="1" t="str">
        <f t="shared" ca="1" si="21"/>
        <v>gpp.x</v>
      </c>
      <c r="D42" s="1">
        <f t="shared" ca="1" si="22"/>
        <v>6.9889999999999999</v>
      </c>
      <c r="E42" s="1">
        <f t="shared" ca="1" si="23"/>
        <v>1.9560738303047647</v>
      </c>
      <c r="F42" s="1">
        <f t="shared" ca="1" si="24"/>
        <v>0.30934325368436111</v>
      </c>
      <c r="G42" s="1">
        <f t="shared" ca="1" si="0"/>
        <v>7.2789999999999999</v>
      </c>
      <c r="H42" s="1">
        <f t="shared" ca="1" si="1"/>
        <v>3.3177634290424507</v>
      </c>
      <c r="I42" s="1">
        <f t="shared" ca="1" si="2"/>
        <v>0.52452259925813982</v>
      </c>
      <c r="J42" s="1">
        <f t="shared" ca="1" si="0"/>
        <v>32.311999999999998</v>
      </c>
      <c r="K42" s="1">
        <f t="shared" ca="1" si="1"/>
        <v>0.30146694726417433</v>
      </c>
      <c r="L42" s="1">
        <f t="shared" ca="1" si="5"/>
        <v>4.7660311958405553E-2</v>
      </c>
      <c r="M42" s="1">
        <f t="shared" ca="1" si="0"/>
        <v>26.966999999999999</v>
      </c>
      <c r="N42" s="1">
        <f t="shared" ca="1" si="1"/>
        <v>0.38428449586531688</v>
      </c>
      <c r="O42" s="1">
        <f t="shared" ca="1" si="8"/>
        <v>6.077798791115066E-2</v>
      </c>
      <c r="P42" s="1">
        <f t="shared" ca="1" si="0"/>
        <v>12.528</v>
      </c>
      <c r="Q42" s="1">
        <f t="shared" ca="1" si="1"/>
        <v>5.0788633461047246</v>
      </c>
      <c r="R42" s="1">
        <f t="shared" ca="1" si="11"/>
        <v>0.80308109833971897</v>
      </c>
      <c r="S42" s="1">
        <f t="shared" ca="1" si="0"/>
        <v>11.802</v>
      </c>
      <c r="T42" s="1">
        <f t="shared" ca="1" si="1"/>
        <v>9.1904761904761898</v>
      </c>
      <c r="U42" s="1">
        <f t="shared" ca="1" si="14"/>
        <v>1.4531435349940691</v>
      </c>
      <c r="V42" s="1">
        <f t="shared" ca="1" si="0"/>
        <v>18.748000000000001</v>
      </c>
      <c r="W42" s="1">
        <f t="shared" ca="1" si="1"/>
        <v>0.56832728824407941</v>
      </c>
      <c r="X42" s="1">
        <f t="shared" ca="1" si="17"/>
        <v>8.9876253467036482E-2</v>
      </c>
      <c r="Y42" s="1">
        <f t="shared" ca="1" si="0"/>
        <v>18.710999999999999</v>
      </c>
      <c r="Z42" s="1">
        <f t="shared" ca="1" si="1"/>
        <v>0.21922933034044148</v>
      </c>
      <c r="AA42" s="1">
        <f t="shared" ca="1" si="20"/>
        <v>3.4685479129923577E-2</v>
      </c>
    </row>
    <row r="43" spans="1:27" x14ac:dyDescent="0.3">
      <c r="A43" s="1">
        <v>5</v>
      </c>
      <c r="C43" s="1" t="str">
        <f t="shared" ca="1" si="21"/>
        <v>gpp_o3.x</v>
      </c>
      <c r="D43" s="1">
        <f t="shared" ca="1" si="22"/>
        <v>6.9989999999999997</v>
      </c>
      <c r="E43" s="1">
        <f t="shared" ca="1" si="23"/>
        <v>1.67038148306901</v>
      </c>
      <c r="F43" s="1">
        <f t="shared" ca="1" si="24"/>
        <v>0.26418059722817544</v>
      </c>
      <c r="G43" s="1">
        <f t="shared" ca="1" si="0"/>
        <v>6.9909999999999997</v>
      </c>
      <c r="H43" s="1">
        <f t="shared" ca="1" si="1"/>
        <v>2.4743241310256043</v>
      </c>
      <c r="I43" s="1">
        <f t="shared" ca="1" si="2"/>
        <v>0.39121727935917611</v>
      </c>
      <c r="J43" s="1">
        <f t="shared" ca="1" si="0"/>
        <v>18.855</v>
      </c>
      <c r="K43" s="1">
        <f t="shared" ca="1" si="1"/>
        <v>0.3224078493768231</v>
      </c>
      <c r="L43" s="1">
        <f t="shared" ca="1" si="5"/>
        <v>5.096791302041899E-2</v>
      </c>
      <c r="M43" s="1">
        <f t="shared" ca="1" si="0"/>
        <v>8.1129999999999995</v>
      </c>
      <c r="N43" s="1">
        <f t="shared" ca="1" si="1"/>
        <v>1.3127079995069642</v>
      </c>
      <c r="O43" s="1">
        <f t="shared" ca="1" si="8"/>
        <v>0.20756810057931718</v>
      </c>
      <c r="P43" s="1">
        <f t="shared" ca="1" si="0"/>
        <v>12.221</v>
      </c>
      <c r="Q43" s="1">
        <f t="shared" ca="1" si="1"/>
        <v>5.6591113656820227</v>
      </c>
      <c r="R43" s="1">
        <f t="shared" ca="1" si="11"/>
        <v>0.89477129531134936</v>
      </c>
      <c r="S43" s="1">
        <f t="shared" ca="1" si="0"/>
        <v>10.807</v>
      </c>
      <c r="T43" s="1">
        <f t="shared" ca="1" si="1"/>
        <v>10.151846025724067</v>
      </c>
      <c r="U43" s="1">
        <f t="shared" ca="1" si="14"/>
        <v>1.6051633200703248</v>
      </c>
      <c r="V43" s="1">
        <f t="shared" ca="1" si="0"/>
        <v>12.484999999999999</v>
      </c>
      <c r="W43" s="1">
        <f t="shared" ca="1" si="1"/>
        <v>1.2977172607128553</v>
      </c>
      <c r="X43" s="1">
        <f t="shared" ca="1" si="17"/>
        <v>0.2052062474969964</v>
      </c>
      <c r="Y43" s="1">
        <f t="shared" ca="1" si="0"/>
        <v>9.5969999999999995</v>
      </c>
      <c r="Z43" s="1">
        <f t="shared" ca="1" si="1"/>
        <v>0.79003855371470255</v>
      </c>
      <c r="AA43" s="1">
        <f t="shared" ca="1" si="20"/>
        <v>0.12493487548192145</v>
      </c>
    </row>
    <row r="44" spans="1:27" x14ac:dyDescent="0.3">
      <c r="A44" s="1">
        <v>6</v>
      </c>
      <c r="C44" s="1" t="str">
        <f t="shared" ca="1" si="21"/>
        <v>icx.x</v>
      </c>
      <c r="D44" s="1">
        <f t="shared" ca="1" si="22"/>
        <v>4.4729999999999999</v>
      </c>
      <c r="E44" s="1">
        <f t="shared" ca="1" si="23"/>
        <v>3.8620612564274532</v>
      </c>
      <c r="F44" s="1">
        <f t="shared" ca="1" si="24"/>
        <v>0.61055220210149785</v>
      </c>
      <c r="G44" s="1">
        <f t="shared" ca="1" si="0"/>
        <v>4.0730000000000004</v>
      </c>
      <c r="H44" s="1">
        <f t="shared" ca="1" si="1"/>
        <v>7.2845568377117598</v>
      </c>
      <c r="I44" s="1">
        <f t="shared" ca="1" si="2"/>
        <v>1.1517309108765037</v>
      </c>
      <c r="J44" s="1">
        <f t="shared" ca="1" si="0"/>
        <v>1.9</v>
      </c>
      <c r="K44" s="1">
        <f t="shared" ca="1" si="1"/>
        <v>6.344736842105263</v>
      </c>
      <c r="L44" s="1">
        <f t="shared" ca="1" si="5"/>
        <v>1.0031578947368422</v>
      </c>
      <c r="M44" s="1">
        <f t="shared" ca="1" si="0"/>
        <v>1.8839999999999999</v>
      </c>
      <c r="N44" s="1">
        <f t="shared" ca="1" si="1"/>
        <v>7.6369426751592373</v>
      </c>
      <c r="O44" s="1">
        <f t="shared" ca="1" si="8"/>
        <v>1.2075371549893843</v>
      </c>
      <c r="P44" s="1">
        <f t="shared" ca="1" si="0"/>
        <v>0</v>
      </c>
      <c r="Q44" s="1">
        <f t="shared" ca="1" si="1"/>
        <v>0</v>
      </c>
      <c r="R44" s="1">
        <f t="shared" ca="1" si="11"/>
        <v>0</v>
      </c>
      <c r="S44" s="1">
        <f t="shared" ca="1" si="0"/>
        <v>0</v>
      </c>
      <c r="T44" s="1">
        <f t="shared" ca="1" si="1"/>
        <v>0</v>
      </c>
      <c r="U44" s="1">
        <f t="shared" ca="1" si="14"/>
        <v>0</v>
      </c>
      <c r="V44" s="1">
        <f t="shared" ca="1" si="0"/>
        <v>5.4489999999999998</v>
      </c>
      <c r="W44" s="1">
        <f t="shared" ca="1" si="1"/>
        <v>3.8856670948797949</v>
      </c>
      <c r="X44" s="1">
        <f t="shared" ca="1" si="17"/>
        <v>0.61442466507616089</v>
      </c>
      <c r="Y44" s="1">
        <f t="shared" ca="1" si="0"/>
        <v>4.6479999999999997</v>
      </c>
      <c r="Z44" s="1">
        <f t="shared" ca="1" si="1"/>
        <v>1.3435886402753874</v>
      </c>
      <c r="AA44" s="1">
        <f t="shared" ca="1" si="20"/>
        <v>0.21234939759036145</v>
      </c>
    </row>
    <row r="45" spans="1:27" x14ac:dyDescent="0.3">
      <c r="A45" s="1">
        <v>7</v>
      </c>
      <c r="C45" s="1" t="str">
        <f t="shared" ca="1" si="21"/>
        <v>icx_o3.x</v>
      </c>
      <c r="D45" s="1">
        <f t="shared" ca="1" si="22"/>
        <v>4.3719999999999999</v>
      </c>
      <c r="E45" s="1">
        <f t="shared" ca="1" si="23"/>
        <v>4.3348581884720945</v>
      </c>
      <c r="F45" s="1">
        <f t="shared" ca="1" si="24"/>
        <v>0.68549862763037506</v>
      </c>
      <c r="G45" s="1">
        <f t="shared" ca="1" si="0"/>
        <v>4.1269999999999998</v>
      </c>
      <c r="H45" s="1">
        <f t="shared" ca="1" si="1"/>
        <v>7.8381390840804457</v>
      </c>
      <c r="I45" s="1">
        <f t="shared" ca="1" si="2"/>
        <v>1.2393990792343108</v>
      </c>
      <c r="J45" s="1">
        <f t="shared" ca="1" si="0"/>
        <v>1.9370000000000001</v>
      </c>
      <c r="K45" s="1">
        <f t="shared" ca="1" si="1"/>
        <v>8.0371708828084678</v>
      </c>
      <c r="L45" s="1">
        <f t="shared" ca="1" si="5"/>
        <v>1.2710376871450695</v>
      </c>
      <c r="M45" s="1">
        <f t="shared" ca="1" si="0"/>
        <v>1.8480000000000001</v>
      </c>
      <c r="N45" s="1">
        <f t="shared" ca="1" si="1"/>
        <v>7.5822510822510809</v>
      </c>
      <c r="O45" s="1">
        <f t="shared" ca="1" si="8"/>
        <v>1.1985930735930734</v>
      </c>
      <c r="P45" s="1">
        <f t="shared" ca="1" si="0"/>
        <v>0</v>
      </c>
      <c r="Q45" s="1">
        <f t="shared" ca="1" si="1"/>
        <v>0</v>
      </c>
      <c r="R45" s="1">
        <f t="shared" ca="1" si="11"/>
        <v>0</v>
      </c>
      <c r="S45" s="1">
        <f t="shared" ca="1" si="0"/>
        <v>0</v>
      </c>
      <c r="T45" s="1">
        <f t="shared" ca="1" si="1"/>
        <v>0</v>
      </c>
      <c r="U45" s="1">
        <f t="shared" ca="1" si="14"/>
        <v>0</v>
      </c>
      <c r="V45" s="1">
        <f t="shared" ca="1" si="0"/>
        <v>5.4420000000000002</v>
      </c>
      <c r="W45" s="1">
        <f t="shared" ca="1" si="1"/>
        <v>3.8208379272326347</v>
      </c>
      <c r="X45" s="1">
        <f t="shared" ca="1" si="17"/>
        <v>0.60418963616317523</v>
      </c>
      <c r="Y45" s="1">
        <f t="shared" ca="1" si="0"/>
        <v>4.649</v>
      </c>
      <c r="Z45" s="1">
        <f t="shared" ca="1" si="1"/>
        <v>1.4035276403527641</v>
      </c>
      <c r="AA45" s="1">
        <f t="shared" ca="1" si="20"/>
        <v>0.22198322219832223</v>
      </c>
    </row>
    <row r="46" spans="1:27" x14ac:dyDescent="0.3">
      <c r="A46" s="1">
        <v>8</v>
      </c>
    </row>
    <row r="47" spans="1:27" x14ac:dyDescent="0.3">
      <c r="A47" s="1">
        <v>9</v>
      </c>
    </row>
    <row r="48" spans="1:27" x14ac:dyDescent="0.3">
      <c r="A48" s="1">
        <v>10</v>
      </c>
    </row>
    <row r="49" spans="1:20" x14ac:dyDescent="0.3">
      <c r="A49" s="1">
        <v>11</v>
      </c>
    </row>
    <row r="50" spans="1:20" x14ac:dyDescent="0.3">
      <c r="A50" s="1">
        <v>12</v>
      </c>
    </row>
    <row r="51" spans="1:20" x14ac:dyDescent="0.3">
      <c r="A51" s="1">
        <v>13</v>
      </c>
    </row>
    <row r="52" spans="1:20" x14ac:dyDescent="0.3">
      <c r="A52" s="1">
        <v>14</v>
      </c>
    </row>
    <row r="53" spans="1:20" x14ac:dyDescent="0.3">
      <c r="A53" s="1">
        <v>15</v>
      </c>
    </row>
    <row r="54" spans="1:20" x14ac:dyDescent="0.3">
      <c r="A54" s="1">
        <v>16</v>
      </c>
    </row>
    <row r="55" spans="1:20" x14ac:dyDescent="0.3">
      <c r="A55" s="1">
        <v>17</v>
      </c>
    </row>
    <row r="56" spans="1:20" x14ac:dyDescent="0.3">
      <c r="A56" s="1">
        <v>18</v>
      </c>
    </row>
    <row r="57" spans="1:20" x14ac:dyDescent="0.3">
      <c r="A57" s="1">
        <v>19</v>
      </c>
    </row>
    <row r="58" spans="1:20" x14ac:dyDescent="0.3">
      <c r="A58" s="1">
        <v>20</v>
      </c>
    </row>
    <row r="59" spans="1:20" x14ac:dyDescent="0.3">
      <c r="A59" s="1">
        <v>21</v>
      </c>
    </row>
    <row r="60" spans="1:20" x14ac:dyDescent="0.3">
      <c r="A60" s="1">
        <v>22</v>
      </c>
    </row>
    <row r="61" spans="1:20" x14ac:dyDescent="0.3">
      <c r="A61" s="1">
        <v>23</v>
      </c>
    </row>
    <row r="62" spans="1:20" x14ac:dyDescent="0.3">
      <c r="A62" s="1">
        <v>24</v>
      </c>
    </row>
    <row r="63" spans="1:20" x14ac:dyDescent="0.3">
      <c r="D63" s="1">
        <v>4</v>
      </c>
      <c r="F63" s="1">
        <v>10</v>
      </c>
      <c r="H63" s="1">
        <v>16</v>
      </c>
      <c r="J63" s="1">
        <v>22</v>
      </c>
      <c r="L63" s="1">
        <v>7</v>
      </c>
      <c r="N63" s="1">
        <f>L63+6</f>
        <v>13</v>
      </c>
      <c r="P63" s="1">
        <f>N63+6</f>
        <v>19</v>
      </c>
      <c r="R63" s="1">
        <f>P63+6</f>
        <v>25</v>
      </c>
    </row>
    <row r="64" spans="1:20" ht="25" thickBot="1" x14ac:dyDescent="0.3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50" customHeight="1" thickBot="1" x14ac:dyDescent="0.35">
      <c r="B65" s="6"/>
      <c r="C65" s="26" t="s">
        <v>140</v>
      </c>
      <c r="D65" s="27" t="str" cm="1">
        <f t="array" aca="1" ref="D65" ca="1">INDIRECT(ADDRESS(ROW(D37),D63))</f>
        <v>AMD Ryzen 7 5800X</v>
      </c>
      <c r="E65" s="28"/>
      <c r="F65" s="28" t="str" cm="1">
        <f t="array" aca="1" ref="F65" ca="1">INDIRECT(ADDRESS(ROW(E37),F63))</f>
        <v>AMD EPYC Turin</v>
      </c>
      <c r="G65" s="28"/>
      <c r="H65" s="28" t="str" cm="1">
        <f t="array" aca="1" ref="H65" ca="1">INDIRECT(ADDRESS(ROW(F37),H63))</f>
        <v>Apple ARM M1 Max</v>
      </c>
      <c r="I65" s="28"/>
      <c r="J65" s="28" t="str" cm="1">
        <f t="array" aca="1" ref="J65" ca="1">INDIRECT(ADDRESS(ROW(G37),J63))</f>
        <v xml:space="preserve">Intel Xeon Platinum </v>
      </c>
      <c r="K65" s="29"/>
      <c r="L65" s="30" t="str" cm="1">
        <f t="array" aca="1" ref="L65" ca="1">INDIRECT(ADDRESS(ROW(H37),L63))</f>
        <v>AMD Ryzen 7 5800X ASE</v>
      </c>
      <c r="M65" s="31"/>
      <c r="N65" s="31" t="str" cm="1">
        <f t="array" aca="1" ref="N65" ca="1">INDIRECT(ADDRESS(ROW(I37),N63))</f>
        <v>AMD EPYC Turin ASE</v>
      </c>
      <c r="O65" s="31"/>
      <c r="P65" s="31" t="str" cm="1">
        <f t="array" aca="1" ref="P65" ca="1">INDIRECT(ADDRESS(ROW(J37),P63))</f>
        <v>Apple ARM M1 Max ASE</v>
      </c>
      <c r="Q65" s="31"/>
      <c r="R65" s="31" t="str" cm="1">
        <f t="array" aca="1" ref="R65" ca="1">INDIRECT(ADDRESS(ROW(K37),R63))</f>
        <v>Intel Xeon Platinum ASE</v>
      </c>
      <c r="S65" s="32"/>
      <c r="T65" s="6"/>
    </row>
    <row r="66" spans="1:20" x14ac:dyDescent="0.3">
      <c r="A66" s="1">
        <v>0</v>
      </c>
      <c r="B66" s="6"/>
      <c r="C66" s="42" t="str">
        <f ca="1">SUBSTITUTE(LEFT(C38,FIND(".",C38)-1),"pp","++")</f>
        <v>gfortran</v>
      </c>
      <c r="D66" s="43" cm="1">
        <f t="array" aca="1" ref="D66" ca="1">INDIRECT(ADDRESS(ROW($D$38)+$A66,D$63))</f>
        <v>7.0369999999999999</v>
      </c>
      <c r="E66" s="44" t="str" cm="1">
        <f t="array" aca="1" ref="E66" ca="1">"("&amp;TEXT(INDIRECT(ADDRESS(ROW($D$38)+$A66,D$63+2)),"0.0")&amp;"%)"</f>
        <v>(0.3%)</v>
      </c>
      <c r="F66" s="45" cm="1">
        <f t="array" aca="1" ref="F66" ca="1">INDIRECT(ADDRESS(ROW($D$38)+$A66,F$63))</f>
        <v>5.4020000000000001</v>
      </c>
      <c r="G66" s="44" t="str" cm="1">
        <f t="array" aca="1" ref="G66" ca="1">"("&amp;TEXT(INDIRECT(ADDRESS(ROW($D$38)+$A66,F$63+2)),"0.0")&amp;"%)"</f>
        <v>(0.1%)</v>
      </c>
      <c r="H66" s="45" cm="1">
        <f t="array" aca="1" ref="H66" ca="1">INDIRECT(ADDRESS(ROW($D$38)+$A66,H$63))</f>
        <v>12.18</v>
      </c>
      <c r="I66" s="44" t="str" cm="1">
        <f t="array" aca="1" ref="I66" ca="1">"("&amp;TEXT(INDIRECT(ADDRESS(ROW($D$38)+$A66,H$63+2)),"0.0")&amp;"%)"</f>
        <v>(1.0%)</v>
      </c>
      <c r="J66" s="45" cm="1">
        <f t="array" aca="1" ref="J66" ca="1">INDIRECT(ADDRESS(ROW($D$38)+$A66,J$63))</f>
        <v>6.5410000000000004</v>
      </c>
      <c r="K66" s="46" t="str" cm="1">
        <f t="array" aca="1" ref="K66" ca="1">"("&amp;TEXT(INDIRECT(ADDRESS(ROW($D$38)+$A66,J$63+2)),"0.0")&amp;"%)"</f>
        <v>(0.2%)</v>
      </c>
      <c r="L66" s="47" cm="1">
        <f t="array" aca="1" ref="L66" ca="1">INDIRECT(ADDRESS(ROW($D$38)+$A66,L$63))</f>
        <v>7.1120000000000001</v>
      </c>
      <c r="M66" s="48" t="str" cm="1">
        <f t="array" aca="1" ref="M66" ca="1">"("&amp;TEXT(INDIRECT(ADDRESS(ROW($D$38)+$A66,L$63+2)),"0.0")&amp;"%)"</f>
        <v>(0.5%)</v>
      </c>
      <c r="N66" s="49" cm="1">
        <f t="array" aca="1" ref="N66" ca="1">INDIRECT(ADDRESS(ROW($D$38)+$A66,N$63))</f>
        <v>5.4029999999999996</v>
      </c>
      <c r="O66" s="48" t="str" cm="1">
        <f t="array" aca="1" ref="O66" ca="1">"("&amp;TEXT(INDIRECT(ADDRESS(ROW($D$38)+$A66,N$63+2)),"0.0")&amp;"%)"</f>
        <v>(0.1%)</v>
      </c>
      <c r="P66" s="49" cm="1">
        <f t="array" aca="1" ref="P66" ca="1">INDIRECT(ADDRESS(ROW($D$38)+$A66,P$63))</f>
        <v>12.356</v>
      </c>
      <c r="Q66" s="48" t="str" cm="1">
        <f t="array" aca="1" ref="Q66" ca="1">"("&amp;TEXT(INDIRECT(ADDRESS(ROW($D$38)+$A66,P$63+2)),"0.0")&amp;"%)"</f>
        <v>(0.9%)</v>
      </c>
      <c r="R66" s="49" cm="1">
        <f t="array" aca="1" ref="R66" ca="1">INDIRECT(ADDRESS(ROW($D$38)+$A66,R$63))</f>
        <v>6.577</v>
      </c>
      <c r="S66" s="50" t="str" cm="1">
        <f t="array" aca="1" ref="S66" ca="1">"("&amp;TEXT(INDIRECT(ADDRESS(ROW($D$38)+$A66,R$63+2)),"0.0")&amp;"%)"</f>
        <v>(0.1%)</v>
      </c>
      <c r="T66" s="6"/>
    </row>
    <row r="67" spans="1:20" x14ac:dyDescent="0.3">
      <c r="A67" s="1">
        <v>1</v>
      </c>
      <c r="B67" s="6"/>
      <c r="C67" s="24" t="str">
        <f t="shared" ref="C67:C73" ca="1" si="25">SUBSTITUTE(LEFT(C39,FIND(".",C39)-1),"pp","++")</f>
        <v>gfortran_o3</v>
      </c>
      <c r="D67" s="10" cm="1">
        <f t="array" aca="1" ref="D67" ca="1">INDIRECT(ADDRESS(ROW($D$38)+$A67,D$63))</f>
        <v>7.02</v>
      </c>
      <c r="E67" s="9" t="str" cm="1">
        <f t="array" aca="1" ref="E67" ca="1">"("&amp;TEXT(INDIRECT(ADDRESS(ROW($D$38)+$A67,D$63+2)),"0.0")&amp;"%)"</f>
        <v>(0.4%)</v>
      </c>
      <c r="F67" s="8" cm="1">
        <f t="array" aca="1" ref="F67" ca="1">INDIRECT(ADDRESS(ROW($D$38)+$A67,F$63))</f>
        <v>5.431</v>
      </c>
      <c r="G67" s="9" t="str" cm="1">
        <f t="array" aca="1" ref="G67" ca="1">"("&amp;TEXT(INDIRECT(ADDRESS(ROW($D$38)+$A67,F$63+2)),"0.0")&amp;"%)"</f>
        <v>(0.1%)</v>
      </c>
      <c r="H67" s="8" cm="1">
        <f t="array" aca="1" ref="H67" ca="1">INDIRECT(ADDRESS(ROW($D$38)+$A67,H$63))</f>
        <v>12.202999999999999</v>
      </c>
      <c r="I67" s="9" t="str" cm="1">
        <f t="array" aca="1" ref="I67" ca="1">"("&amp;TEXT(INDIRECT(ADDRESS(ROW($D$38)+$A67,H$63+2)),"0.0")&amp;"%)"</f>
        <v>(1.1%)</v>
      </c>
      <c r="J67" s="8" cm="1">
        <f t="array" aca="1" ref="J67" ca="1">INDIRECT(ADDRESS(ROW($D$38)+$A67,J$63))</f>
        <v>6.5289999999999999</v>
      </c>
      <c r="K67" s="11" t="str" cm="1">
        <f t="array" aca="1" ref="K67" ca="1">"("&amp;TEXT(INDIRECT(ADDRESS(ROW($D$38)+$A67,J$63+2)),"0.0")&amp;"%)"</f>
        <v>(0.2%)</v>
      </c>
      <c r="L67" s="16" cm="1">
        <f t="array" aca="1" ref="L67" ca="1">INDIRECT(ADDRESS(ROW($D$38)+$A67,L$63))</f>
        <v>6.9450000000000003</v>
      </c>
      <c r="M67" s="20" t="str" cm="1">
        <f t="array" aca="1" ref="M67" ca="1">"("&amp;TEXT(INDIRECT(ADDRESS(ROW($D$38)+$A67,L$63+2)),"0.0")&amp;"%)"</f>
        <v>(0.4%)</v>
      </c>
      <c r="N67" s="17" cm="1">
        <f t="array" aca="1" ref="N67" ca="1">INDIRECT(ADDRESS(ROW($D$38)+$A67,N$63))</f>
        <v>5.4009999999999998</v>
      </c>
      <c r="O67" s="20" t="str" cm="1">
        <f t="array" aca="1" ref="O67" ca="1">"("&amp;TEXT(INDIRECT(ADDRESS(ROW($D$38)+$A67,N$63+2)),"0.0")&amp;"%)"</f>
        <v>(0.1%)</v>
      </c>
      <c r="P67" s="17" cm="1">
        <f t="array" aca="1" ref="P67" ca="1">INDIRECT(ADDRESS(ROW($D$38)+$A67,P$63))</f>
        <v>12.53</v>
      </c>
      <c r="Q67" s="20" t="str" cm="1">
        <f t="array" aca="1" ref="Q67" ca="1">"("&amp;TEXT(INDIRECT(ADDRESS(ROW($D$38)+$A67,P$63+2)),"0.0")&amp;"%)"</f>
        <v>(3.3%)</v>
      </c>
      <c r="R67" s="17" cm="1">
        <f t="array" aca="1" ref="R67" ca="1">INDIRECT(ADDRESS(ROW($D$38)+$A67,R$63))</f>
        <v>6.5529999999999999</v>
      </c>
      <c r="S67" s="22" t="str" cm="1">
        <f t="array" aca="1" ref="S67" ca="1">"("&amp;TEXT(INDIRECT(ADDRESS(ROW($D$38)+$A67,R$63+2)),"0.0")&amp;"%)"</f>
        <v>(0.1%)</v>
      </c>
      <c r="T67" s="6"/>
    </row>
    <row r="68" spans="1:20" x14ac:dyDescent="0.3">
      <c r="A68" s="1">
        <v>2</v>
      </c>
      <c r="B68" s="6"/>
      <c r="C68" s="24" t="str">
        <f t="shared" ca="1" si="25"/>
        <v>ifx</v>
      </c>
      <c r="D68" s="10" cm="1">
        <f t="array" aca="1" ref="D68" ca="1">INDIRECT(ADDRESS(ROW($D$38)+$A68,D$63))</f>
        <v>7.3250000000000002</v>
      </c>
      <c r="E68" s="9" t="str" cm="1">
        <f t="array" aca="1" ref="E68" ca="1">"("&amp;TEXT(INDIRECT(ADDRESS(ROW($D$38)+$A68,D$63+2)),"0.0")&amp;"%)"</f>
        <v>(4.5%)</v>
      </c>
      <c r="F68" s="8" cm="1">
        <f t="array" aca="1" ref="F68" ca="1">INDIRECT(ADDRESS(ROW($D$38)+$A68,F$63))</f>
        <v>5.4109999999999996</v>
      </c>
      <c r="G68" s="9" t="str" cm="1">
        <f t="array" aca="1" ref="G68" ca="1">"("&amp;TEXT(INDIRECT(ADDRESS(ROW($D$38)+$A68,F$63+2)),"0.0")&amp;"%)"</f>
        <v>(0.1%)</v>
      </c>
      <c r="H68" s="8" cm="1">
        <f t="array" aca="1" ref="H68" ca="1">INDIRECT(ADDRESS(ROW($D$38)+$A68,H$63))</f>
        <v>0</v>
      </c>
      <c r="I68" s="9" t="str" cm="1">
        <f t="array" aca="1" ref="I68" ca="1">"("&amp;TEXT(INDIRECT(ADDRESS(ROW($D$38)+$A68,H$63+2)),"0.0")&amp;"%)"</f>
        <v>(0.0%)</v>
      </c>
      <c r="J68" s="8" cm="1">
        <f t="array" aca="1" ref="J68" ca="1">INDIRECT(ADDRESS(ROW($D$38)+$A68,J$63))</f>
        <v>6.54</v>
      </c>
      <c r="K68" s="11" t="str" cm="1">
        <f t="array" aca="1" ref="K68" ca="1">"("&amp;TEXT(INDIRECT(ADDRESS(ROW($D$38)+$A68,J$63+2)),"0.0")&amp;"%)"</f>
        <v>(0.2%)</v>
      </c>
      <c r="L68" s="16" cm="1">
        <f t="array" aca="1" ref="L68" ca="1">INDIRECT(ADDRESS(ROW($D$38)+$A68,L$63))</f>
        <v>4.0250000000000004</v>
      </c>
      <c r="M68" s="20" t="str" cm="1">
        <f t="array" aca="1" ref="M68" ca="1">"("&amp;TEXT(INDIRECT(ADDRESS(ROW($D$38)+$A68,L$63+2)),"0.0")&amp;"%)"</f>
        <v>(4.6%)</v>
      </c>
      <c r="N68" s="17" cm="1">
        <f t="array" aca="1" ref="N68" ca="1">INDIRECT(ADDRESS(ROW($D$38)+$A68,N$63))</f>
        <v>1.9870000000000001</v>
      </c>
      <c r="O68" s="20" t="str" cm="1">
        <f t="array" aca="1" ref="O68" ca="1">"("&amp;TEXT(INDIRECT(ADDRESS(ROW($D$38)+$A68,N$63+2)),"0.0")&amp;"%)"</f>
        <v>(1.0%)</v>
      </c>
      <c r="P68" s="17" cm="1">
        <f t="array" aca="1" ref="P68" ca="1">INDIRECT(ADDRESS(ROW($D$38)+$A68,P$63))</f>
        <v>0</v>
      </c>
      <c r="Q68" s="20" t="str" cm="1">
        <f t="array" aca="1" ref="Q68" ca="1">"("&amp;TEXT(INDIRECT(ADDRESS(ROW($D$38)+$A68,P$63+2)),"0.0")&amp;"%)"</f>
        <v>(0.0%)</v>
      </c>
      <c r="R68" s="17" cm="1">
        <f t="array" aca="1" ref="R68" ca="1">INDIRECT(ADDRESS(ROW($D$38)+$A68,R$63))</f>
        <v>4.5979999999999999</v>
      </c>
      <c r="S68" s="22" t="str" cm="1">
        <f t="array" aca="1" ref="S68" ca="1">"("&amp;TEXT(INDIRECT(ADDRESS(ROW($D$38)+$A68,R$63+2)),"0.0")&amp;"%)"</f>
        <v>(0.2%)</v>
      </c>
      <c r="T68" s="6"/>
    </row>
    <row r="69" spans="1:20" ht="25" thickBot="1" x14ac:dyDescent="0.35">
      <c r="A69" s="1">
        <v>3</v>
      </c>
      <c r="B69" s="6"/>
      <c r="C69" s="25" t="str">
        <f t="shared" ca="1" si="25"/>
        <v>ifx_o3</v>
      </c>
      <c r="D69" s="12" cm="1">
        <f t="array" aca="1" ref="D69" ca="1">INDIRECT(ADDRESS(ROW($D$38)+$A69,D$63))</f>
        <v>7.1</v>
      </c>
      <c r="E69" s="13" t="str" cm="1">
        <f t="array" aca="1" ref="E69" ca="1">"("&amp;TEXT(INDIRECT(ADDRESS(ROW($D$38)+$A69,D$63+2)),"0.0")&amp;"%)"</f>
        <v>(1.9%)</v>
      </c>
      <c r="F69" s="14" cm="1">
        <f t="array" aca="1" ref="F69" ca="1">INDIRECT(ADDRESS(ROW($D$38)+$A69,F$63))</f>
        <v>5.4139999999999997</v>
      </c>
      <c r="G69" s="13" t="str" cm="1">
        <f t="array" aca="1" ref="G69" ca="1">"("&amp;TEXT(INDIRECT(ADDRESS(ROW($D$38)+$A69,F$63+2)),"0.0")&amp;"%)"</f>
        <v>(0.1%)</v>
      </c>
      <c r="H69" s="14" cm="1">
        <f t="array" aca="1" ref="H69" ca="1">INDIRECT(ADDRESS(ROW($D$38)+$A69,H$63))</f>
        <v>0</v>
      </c>
      <c r="I69" s="13" t="str" cm="1">
        <f t="array" aca="1" ref="I69" ca="1">"("&amp;TEXT(INDIRECT(ADDRESS(ROW($D$38)+$A69,H$63+2)),"0.0")&amp;"%)"</f>
        <v>(0.0%)</v>
      </c>
      <c r="J69" s="14" cm="1">
        <f t="array" aca="1" ref="J69" ca="1">INDIRECT(ADDRESS(ROW($D$38)+$A69,J$63))</f>
        <v>6.548</v>
      </c>
      <c r="K69" s="15" t="str" cm="1">
        <f t="array" aca="1" ref="K69" ca="1">"("&amp;TEXT(INDIRECT(ADDRESS(ROW($D$38)+$A69,J$63+2)),"0.0")&amp;"%)"</f>
        <v>(0.2%)</v>
      </c>
      <c r="L69" s="18" cm="1">
        <f t="array" aca="1" ref="L69" ca="1">INDIRECT(ADDRESS(ROW($D$38)+$A69,L$63))</f>
        <v>4.3</v>
      </c>
      <c r="M69" s="21" t="str" cm="1">
        <f t="array" aca="1" ref="M69" ca="1">"("&amp;TEXT(INDIRECT(ADDRESS(ROW($D$38)+$A69,L$63+2)),"0.0")&amp;"%)"</f>
        <v>(5.3%)</v>
      </c>
      <c r="N69" s="19" cm="1">
        <f t="array" aca="1" ref="N69" ca="1">INDIRECT(ADDRESS(ROW($D$38)+$A69,N$63))</f>
        <v>1.9330000000000001</v>
      </c>
      <c r="O69" s="21" t="str" cm="1">
        <f t="array" aca="1" ref="O69" ca="1">"("&amp;TEXT(INDIRECT(ADDRESS(ROW($D$38)+$A69,N$63+2)),"0.0")&amp;"%)"</f>
        <v>(0.9%)</v>
      </c>
      <c r="P69" s="19" cm="1">
        <f t="array" aca="1" ref="P69" ca="1">INDIRECT(ADDRESS(ROW($D$38)+$A69,P$63))</f>
        <v>0</v>
      </c>
      <c r="Q69" s="21" t="str" cm="1">
        <f t="array" aca="1" ref="Q69" ca="1">"("&amp;TEXT(INDIRECT(ADDRESS(ROW($D$38)+$A69,P$63+2)),"0.0")&amp;"%)"</f>
        <v>(0.0%)</v>
      </c>
      <c r="R69" s="19" cm="1">
        <f t="array" aca="1" ref="R69" ca="1">INDIRECT(ADDRESS(ROW($D$38)+$A69,R$63))</f>
        <v>4.5960000000000001</v>
      </c>
      <c r="S69" s="23" t="str" cm="1">
        <f t="array" aca="1" ref="S69" ca="1">"("&amp;TEXT(INDIRECT(ADDRESS(ROW($D$38)+$A69,R$63+2)),"0.0")&amp;"%)"</f>
        <v>(0.2%)</v>
      </c>
      <c r="T69" s="6"/>
    </row>
    <row r="70" spans="1:20" x14ac:dyDescent="0.3">
      <c r="A70" s="1">
        <v>4</v>
      </c>
      <c r="B70" s="6"/>
      <c r="C70" s="33" t="str">
        <f t="shared" ca="1" si="25"/>
        <v>g++</v>
      </c>
      <c r="D70" s="34" cm="1">
        <f t="array" aca="1" ref="D70" ca="1">INDIRECT(ADDRESS(ROW($D$38)+$A70,D$63))</f>
        <v>6.9889999999999999</v>
      </c>
      <c r="E70" s="35" t="str" cm="1">
        <f t="array" aca="1" ref="E70" ca="1">"("&amp;TEXT(INDIRECT(ADDRESS(ROW($D$38)+$A70,D$63+2)),"0.0")&amp;"%)"</f>
        <v>(0.3%)</v>
      </c>
      <c r="F70" s="36" cm="1">
        <f t="array" aca="1" ref="F70" ca="1">INDIRECT(ADDRESS(ROW($D$38)+$A70,F$63))</f>
        <v>32.311999999999998</v>
      </c>
      <c r="G70" s="35" t="str" cm="1">
        <f t="array" aca="1" ref="G70" ca="1">"("&amp;TEXT(INDIRECT(ADDRESS(ROW($D$38)+$A70,F$63+2)),"0.0")&amp;"%)"</f>
        <v>(0.0%)</v>
      </c>
      <c r="H70" s="36" cm="1">
        <f t="array" aca="1" ref="H70" ca="1">INDIRECT(ADDRESS(ROW($D$38)+$A70,H$63))</f>
        <v>12.528</v>
      </c>
      <c r="I70" s="35" t="str" cm="1">
        <f t="array" aca="1" ref="I70" ca="1">"("&amp;TEXT(INDIRECT(ADDRESS(ROW($D$38)+$A70,H$63+2)),"0.0")&amp;"%)"</f>
        <v>(0.8%)</v>
      </c>
      <c r="J70" s="36" cm="1">
        <f t="array" aca="1" ref="J70" ca="1">INDIRECT(ADDRESS(ROW($D$38)+$A70,J$63))</f>
        <v>18.748000000000001</v>
      </c>
      <c r="K70" s="37" t="str" cm="1">
        <f t="array" aca="1" ref="K70" ca="1">"("&amp;TEXT(INDIRECT(ADDRESS(ROW($D$38)+$A70,J$63+2)),"0.0")&amp;"%)"</f>
        <v>(0.1%)</v>
      </c>
      <c r="L70" s="38" cm="1">
        <f t="array" aca="1" ref="L70" ca="1">INDIRECT(ADDRESS(ROW($D$38)+$A70,L$63))</f>
        <v>7.2789999999999999</v>
      </c>
      <c r="M70" s="39" t="str" cm="1">
        <f t="array" aca="1" ref="M70" ca="1">"("&amp;TEXT(INDIRECT(ADDRESS(ROW($D$38)+$A70,L$63+2)),"0.0")&amp;"%)"</f>
        <v>(0.5%)</v>
      </c>
      <c r="N70" s="40" cm="1">
        <f t="array" aca="1" ref="N70" ca="1">INDIRECT(ADDRESS(ROW($D$38)+$A70,N$63))</f>
        <v>26.966999999999999</v>
      </c>
      <c r="O70" s="39" t="str" cm="1">
        <f t="array" aca="1" ref="O70" ca="1">"("&amp;TEXT(INDIRECT(ADDRESS(ROW($D$38)+$A70,N$63+2)),"0.0")&amp;"%)"</f>
        <v>(0.1%)</v>
      </c>
      <c r="P70" s="40" cm="1">
        <f t="array" aca="1" ref="P70" ca="1">INDIRECT(ADDRESS(ROW($D$38)+$A70,P$63))</f>
        <v>11.802</v>
      </c>
      <c r="Q70" s="39" t="str" cm="1">
        <f t="array" aca="1" ref="Q70" ca="1">"("&amp;TEXT(INDIRECT(ADDRESS(ROW($D$38)+$A70,P$63+2)),"0.0")&amp;"%)"</f>
        <v>(1.5%)</v>
      </c>
      <c r="R70" s="40" cm="1">
        <f t="array" aca="1" ref="R70" ca="1">INDIRECT(ADDRESS(ROW($D$38)+$A70,R$63))</f>
        <v>18.710999999999999</v>
      </c>
      <c r="S70" s="41" t="str" cm="1">
        <f t="array" aca="1" ref="S70" ca="1">"("&amp;TEXT(INDIRECT(ADDRESS(ROW($D$38)+$A70,R$63+2)),"0.0")&amp;"%)"</f>
        <v>(0.0%)</v>
      </c>
      <c r="T70" s="6"/>
    </row>
    <row r="71" spans="1:20" x14ac:dyDescent="0.3">
      <c r="A71" s="1">
        <v>5</v>
      </c>
      <c r="B71" s="6"/>
      <c r="C71" s="24" t="str">
        <f t="shared" ca="1" si="25"/>
        <v>g++_o3</v>
      </c>
      <c r="D71" s="10" cm="1">
        <f t="array" aca="1" ref="D71" ca="1">INDIRECT(ADDRESS(ROW($D$38)+$A71,D$63))</f>
        <v>6.9989999999999997</v>
      </c>
      <c r="E71" s="9" t="str" cm="1">
        <f t="array" aca="1" ref="E71" ca="1">"("&amp;TEXT(INDIRECT(ADDRESS(ROW($D$38)+$A71,D$63+2)),"0.0")&amp;"%)"</f>
        <v>(0.3%)</v>
      </c>
      <c r="F71" s="8" cm="1">
        <f t="array" aca="1" ref="F71" ca="1">INDIRECT(ADDRESS(ROW($D$38)+$A71,F$63))</f>
        <v>18.855</v>
      </c>
      <c r="G71" s="9" t="str" cm="1">
        <f t="array" aca="1" ref="G71" ca="1">"("&amp;TEXT(INDIRECT(ADDRESS(ROW($D$38)+$A71,F$63+2)),"0.0")&amp;"%)"</f>
        <v>(0.1%)</v>
      </c>
      <c r="H71" s="8" cm="1">
        <f t="array" aca="1" ref="H71" ca="1">INDIRECT(ADDRESS(ROW($D$38)+$A71,H$63))</f>
        <v>12.221</v>
      </c>
      <c r="I71" s="9" t="str" cm="1">
        <f t="array" aca="1" ref="I71" ca="1">"("&amp;TEXT(INDIRECT(ADDRESS(ROW($D$38)+$A71,H$63+2)),"0.0")&amp;"%)"</f>
        <v>(0.9%)</v>
      </c>
      <c r="J71" s="8" cm="1">
        <f t="array" aca="1" ref="J71" ca="1">INDIRECT(ADDRESS(ROW($D$38)+$A71,J$63))</f>
        <v>12.484999999999999</v>
      </c>
      <c r="K71" s="11" t="str" cm="1">
        <f t="array" aca="1" ref="K71" ca="1">"("&amp;TEXT(INDIRECT(ADDRESS(ROW($D$38)+$A71,J$63+2)),"0.0")&amp;"%)"</f>
        <v>(0.2%)</v>
      </c>
      <c r="L71" s="16" cm="1">
        <f t="array" aca="1" ref="L71" ca="1">INDIRECT(ADDRESS(ROW($D$38)+$A71,L$63))</f>
        <v>6.9909999999999997</v>
      </c>
      <c r="M71" s="20" t="str" cm="1">
        <f t="array" aca="1" ref="M71" ca="1">"("&amp;TEXT(INDIRECT(ADDRESS(ROW($D$38)+$A71,L$63+2)),"0.0")&amp;"%)"</f>
        <v>(0.4%)</v>
      </c>
      <c r="N71" s="17" cm="1">
        <f t="array" aca="1" ref="N71" ca="1">INDIRECT(ADDRESS(ROW($D$38)+$A71,N$63))</f>
        <v>8.1129999999999995</v>
      </c>
      <c r="O71" s="20" t="str" cm="1">
        <f t="array" aca="1" ref="O71" ca="1">"("&amp;TEXT(INDIRECT(ADDRESS(ROW($D$38)+$A71,N$63+2)),"0.0")&amp;"%)"</f>
        <v>(0.2%)</v>
      </c>
      <c r="P71" s="17" cm="1">
        <f t="array" aca="1" ref="P71" ca="1">INDIRECT(ADDRESS(ROW($D$38)+$A71,P$63))</f>
        <v>10.807</v>
      </c>
      <c r="Q71" s="20" t="str" cm="1">
        <f t="array" aca="1" ref="Q71" ca="1">"("&amp;TEXT(INDIRECT(ADDRESS(ROW($D$38)+$A71,P$63+2)),"0.0")&amp;"%)"</f>
        <v>(1.6%)</v>
      </c>
      <c r="R71" s="17" cm="1">
        <f t="array" aca="1" ref="R71" ca="1">INDIRECT(ADDRESS(ROW($D$38)+$A71,R$63))</f>
        <v>9.5969999999999995</v>
      </c>
      <c r="S71" s="22" t="str" cm="1">
        <f t="array" aca="1" ref="S71" ca="1">"("&amp;TEXT(INDIRECT(ADDRESS(ROW($D$38)+$A71,R$63+2)),"0.0")&amp;"%)"</f>
        <v>(0.1%)</v>
      </c>
      <c r="T71" s="6"/>
    </row>
    <row r="72" spans="1:20" x14ac:dyDescent="0.3">
      <c r="A72" s="1">
        <v>6</v>
      </c>
      <c r="B72" s="6"/>
      <c r="C72" s="24" t="str">
        <f t="shared" ca="1" si="25"/>
        <v>icx</v>
      </c>
      <c r="D72" s="10" cm="1">
        <f t="array" aca="1" ref="D72" ca="1">INDIRECT(ADDRESS(ROW($D$38)+$A72,D$63))</f>
        <v>4.4729999999999999</v>
      </c>
      <c r="E72" s="9" t="str" cm="1">
        <f t="array" aca="1" ref="E72" ca="1">"("&amp;TEXT(INDIRECT(ADDRESS(ROW($D$38)+$A72,D$63+2)),"0.0")&amp;"%)"</f>
        <v>(0.6%)</v>
      </c>
      <c r="F72" s="8" cm="1">
        <f t="array" aca="1" ref="F72" ca="1">INDIRECT(ADDRESS(ROW($D$38)+$A72,F$63))</f>
        <v>1.9</v>
      </c>
      <c r="G72" s="9" t="str" cm="1">
        <f t="array" aca="1" ref="G72" ca="1">"("&amp;TEXT(INDIRECT(ADDRESS(ROW($D$38)+$A72,F$63+2)),"0.0")&amp;"%)"</f>
        <v>(1.0%)</v>
      </c>
      <c r="H72" s="8" cm="1">
        <f t="array" aca="1" ref="H72" ca="1">INDIRECT(ADDRESS(ROW($D$38)+$A72,H$63))</f>
        <v>0</v>
      </c>
      <c r="I72" s="9" t="str" cm="1">
        <f t="array" aca="1" ref="I72" ca="1">"("&amp;TEXT(INDIRECT(ADDRESS(ROW($D$38)+$A72,H$63+2)),"0.0")&amp;"%)"</f>
        <v>(0.0%)</v>
      </c>
      <c r="J72" s="8" cm="1">
        <f t="array" aca="1" ref="J72" ca="1">INDIRECT(ADDRESS(ROW($D$38)+$A72,J$63))</f>
        <v>5.4489999999999998</v>
      </c>
      <c r="K72" s="11" t="str" cm="1">
        <f t="array" aca="1" ref="K72" ca="1">"("&amp;TEXT(INDIRECT(ADDRESS(ROW($D$38)+$A72,J$63+2)),"0.0")&amp;"%)"</f>
        <v>(0.6%)</v>
      </c>
      <c r="L72" s="16" cm="1">
        <f t="array" aca="1" ref="L72" ca="1">INDIRECT(ADDRESS(ROW($D$38)+$A72,L$63))</f>
        <v>4.0730000000000004</v>
      </c>
      <c r="M72" s="20" t="str" cm="1">
        <f t="array" aca="1" ref="M72" ca="1">"("&amp;TEXT(INDIRECT(ADDRESS(ROW($D$38)+$A72,L$63+2)),"0.0")&amp;"%)"</f>
        <v>(1.2%)</v>
      </c>
      <c r="N72" s="17" cm="1">
        <f t="array" aca="1" ref="N72" ca="1">INDIRECT(ADDRESS(ROW($D$38)+$A72,N$63))</f>
        <v>1.8839999999999999</v>
      </c>
      <c r="O72" s="20" t="str" cm="1">
        <f t="array" aca="1" ref="O72" ca="1">"("&amp;TEXT(INDIRECT(ADDRESS(ROW($D$38)+$A72,N$63+2)),"0.0")&amp;"%)"</f>
        <v>(1.2%)</v>
      </c>
      <c r="P72" s="17" cm="1">
        <f t="array" aca="1" ref="P72" ca="1">INDIRECT(ADDRESS(ROW($D$38)+$A72,P$63))</f>
        <v>0</v>
      </c>
      <c r="Q72" s="20" t="str" cm="1">
        <f t="array" aca="1" ref="Q72" ca="1">"("&amp;TEXT(INDIRECT(ADDRESS(ROW($D$38)+$A72,P$63+2)),"0.0")&amp;"%)"</f>
        <v>(0.0%)</v>
      </c>
      <c r="R72" s="17" cm="1">
        <f t="array" aca="1" ref="R72" ca="1">INDIRECT(ADDRESS(ROW($D$38)+$A72,R$63))</f>
        <v>4.6479999999999997</v>
      </c>
      <c r="S72" s="22" t="str" cm="1">
        <f t="array" aca="1" ref="S72" ca="1">"("&amp;TEXT(INDIRECT(ADDRESS(ROW($D$38)+$A72,R$63+2)),"0.0")&amp;"%)"</f>
        <v>(0.2%)</v>
      </c>
      <c r="T72" s="6"/>
    </row>
    <row r="73" spans="1:20" ht="25" thickBot="1" x14ac:dyDescent="0.35">
      <c r="A73" s="1">
        <v>7</v>
      </c>
      <c r="B73" s="6"/>
      <c r="C73" s="25" t="str">
        <f t="shared" ca="1" si="25"/>
        <v>icx_o3</v>
      </c>
      <c r="D73" s="12" cm="1">
        <f t="array" aca="1" ref="D73" ca="1">INDIRECT(ADDRESS(ROW($D$38)+$A73,D$63))</f>
        <v>4.3719999999999999</v>
      </c>
      <c r="E73" s="13" t="str" cm="1">
        <f t="array" aca="1" ref="E73" ca="1">"("&amp;TEXT(INDIRECT(ADDRESS(ROW($D$38)+$A73,D$63+2)),"0.0")&amp;"%)"</f>
        <v>(0.7%)</v>
      </c>
      <c r="F73" s="14" cm="1">
        <f t="array" aca="1" ref="F73" ca="1">INDIRECT(ADDRESS(ROW($D$38)+$A73,F$63))</f>
        <v>1.9370000000000001</v>
      </c>
      <c r="G73" s="13" t="str" cm="1">
        <f t="array" aca="1" ref="G73" ca="1">"("&amp;TEXT(INDIRECT(ADDRESS(ROW($D$38)+$A73,F$63+2)),"0.0")&amp;"%)"</f>
        <v>(1.3%)</v>
      </c>
      <c r="H73" s="14" cm="1">
        <f t="array" aca="1" ref="H73" ca="1">INDIRECT(ADDRESS(ROW($D$38)+$A73,H$63))</f>
        <v>0</v>
      </c>
      <c r="I73" s="13" t="str" cm="1">
        <f t="array" aca="1" ref="I73" ca="1">"("&amp;TEXT(INDIRECT(ADDRESS(ROW($D$38)+$A73,H$63+2)),"0.0")&amp;"%)"</f>
        <v>(0.0%)</v>
      </c>
      <c r="J73" s="14" cm="1">
        <f t="array" aca="1" ref="J73" ca="1">INDIRECT(ADDRESS(ROW($D$38)+$A73,J$63))</f>
        <v>5.4420000000000002</v>
      </c>
      <c r="K73" s="15" t="str" cm="1">
        <f t="array" aca="1" ref="K73" ca="1">"("&amp;TEXT(INDIRECT(ADDRESS(ROW($D$38)+$A73,J$63+2)),"0.0")&amp;"%)"</f>
        <v>(0.6%)</v>
      </c>
      <c r="L73" s="18" cm="1">
        <f t="array" aca="1" ref="L73" ca="1">INDIRECT(ADDRESS(ROW($D$38)+$A73,L$63))</f>
        <v>4.1269999999999998</v>
      </c>
      <c r="M73" s="21" t="str" cm="1">
        <f t="array" aca="1" ref="M73" ca="1">"("&amp;TEXT(INDIRECT(ADDRESS(ROW($D$38)+$A73,L$63+2)),"0.0")&amp;"%)"</f>
        <v>(1.2%)</v>
      </c>
      <c r="N73" s="19" cm="1">
        <f t="array" aca="1" ref="N73" ca="1">INDIRECT(ADDRESS(ROW($D$38)+$A73,N$63))</f>
        <v>1.8480000000000001</v>
      </c>
      <c r="O73" s="21" t="str" cm="1">
        <f t="array" aca="1" ref="O73" ca="1">"("&amp;TEXT(INDIRECT(ADDRESS(ROW($D$38)+$A73,N$63+2)),"0.0")&amp;"%)"</f>
        <v>(1.2%)</v>
      </c>
      <c r="P73" s="19" cm="1">
        <f t="array" aca="1" ref="P73" ca="1">INDIRECT(ADDRESS(ROW($D$38)+$A73,P$63))</f>
        <v>0</v>
      </c>
      <c r="Q73" s="21" t="str" cm="1">
        <f t="array" aca="1" ref="Q73" ca="1">"("&amp;TEXT(INDIRECT(ADDRESS(ROW($D$38)+$A73,P$63+2)),"0.0")&amp;"%)"</f>
        <v>(0.0%)</v>
      </c>
      <c r="R73" s="19" cm="1">
        <f t="array" aca="1" ref="R73" ca="1">INDIRECT(ADDRESS(ROW($D$38)+$A73,R$63))</f>
        <v>4.649</v>
      </c>
      <c r="S73" s="23" t="str" cm="1">
        <f t="array" aca="1" ref="S73" ca="1">"("&amp;TEXT(INDIRECT(ADDRESS(ROW($D$38)+$A73,R$63+2)),"0.0")&amp;"%)"</f>
        <v>(0.2%)</v>
      </c>
      <c r="T73" s="6"/>
    </row>
    <row r="74" spans="1:20" x14ac:dyDescent="0.3">
      <c r="A74" s="1">
        <v>8</v>
      </c>
      <c r="B74" s="6"/>
      <c r="C74" s="6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</row>
    <row r="75" spans="1:20" x14ac:dyDescent="0.3">
      <c r="A75" s="1">
        <v>9</v>
      </c>
      <c r="B75" s="6"/>
      <c r="C75" s="6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</row>
    <row r="76" spans="1:20" x14ac:dyDescent="0.3">
      <c r="A76" s="1">
        <v>10</v>
      </c>
      <c r="B76" s="6"/>
      <c r="C76" s="6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</row>
    <row r="77" spans="1:20" x14ac:dyDescent="0.3">
      <c r="A77" s="1">
        <v>11</v>
      </c>
      <c r="B77" s="6"/>
      <c r="C77" s="6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</row>
    <row r="78" spans="1:20" x14ac:dyDescent="0.3">
      <c r="A78" s="1">
        <v>12</v>
      </c>
      <c r="B78" s="6"/>
      <c r="C78" s="6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</row>
    <row r="79" spans="1:20" x14ac:dyDescent="0.3">
      <c r="A79" s="1">
        <v>13</v>
      </c>
      <c r="B79" s="6"/>
      <c r="C79" s="6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</row>
    <row r="80" spans="1:20" x14ac:dyDescent="0.3">
      <c r="A80" s="1">
        <v>14</v>
      </c>
      <c r="B80" s="6"/>
      <c r="C80" s="6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</row>
    <row r="81" spans="1:20" x14ac:dyDescent="0.3">
      <c r="A81" s="1">
        <v>15</v>
      </c>
      <c r="B81" s="6"/>
      <c r="C81" s="6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</row>
    <row r="82" spans="1:20" x14ac:dyDescent="0.3">
      <c r="A82" s="1">
        <v>16</v>
      </c>
      <c r="B82" s="6"/>
      <c r="C82" s="6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</row>
    <row r="83" spans="1:20" x14ac:dyDescent="0.3">
      <c r="A83" s="1">
        <v>17</v>
      </c>
      <c r="B83" s="6"/>
      <c r="C83" s="6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</row>
    <row r="84" spans="1:20" x14ac:dyDescent="0.3">
      <c r="A84" s="1">
        <v>18</v>
      </c>
      <c r="B84" s="6"/>
      <c r="C84" s="6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</row>
    <row r="85" spans="1:20" x14ac:dyDescent="0.3">
      <c r="A85" s="1">
        <v>19</v>
      </c>
      <c r="B85" s="6"/>
      <c r="C85" s="6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</row>
    <row r="86" spans="1:20" x14ac:dyDescent="0.3">
      <c r="A86" s="1">
        <v>20</v>
      </c>
      <c r="B86" s="6"/>
      <c r="C86" s="6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</row>
    <row r="87" spans="1:20" x14ac:dyDescent="0.3">
      <c r="A87" s="1">
        <v>21</v>
      </c>
      <c r="B87" s="6"/>
      <c r="C87" s="6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</row>
    <row r="88" spans="1:20" x14ac:dyDescent="0.3">
      <c r="A88" s="1">
        <v>22</v>
      </c>
      <c r="B88" s="6"/>
      <c r="C88" s="6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</row>
    <row r="89" spans="1:20" x14ac:dyDescent="0.3">
      <c r="A89" s="1">
        <v>23</v>
      </c>
      <c r="B89" s="6"/>
      <c r="C89" s="6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</row>
    <row r="90" spans="1:20" x14ac:dyDescent="0.3">
      <c r="A90" s="1">
        <v>24</v>
      </c>
      <c r="B90" s="6"/>
      <c r="C90" s="6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</row>
  </sheetData>
  <mergeCells count="8">
    <mergeCell ref="P65:Q65"/>
    <mergeCell ref="R65:S65"/>
    <mergeCell ref="D65:E65"/>
    <mergeCell ref="F65:G65"/>
    <mergeCell ref="H65:I65"/>
    <mergeCell ref="J65:K65"/>
    <mergeCell ref="L65:M65"/>
    <mergeCell ref="N65:O65"/>
  </mergeCells>
  <pageMargins left="0.7" right="0.7" top="0.75" bottom="0.75" header="0.3" footer="0.3"/>
  <ignoredErrors>
    <ignoredError sqref="Q6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2D4F-85AC-C343-A5D7-816584A9CADA}">
  <dimension ref="A5:AC90"/>
  <sheetViews>
    <sheetView topLeftCell="A33" workbookViewId="0">
      <selection activeCell="G82" sqref="G82"/>
    </sheetView>
  </sheetViews>
  <sheetFormatPr baseColWidth="10" defaultRowHeight="24" x14ac:dyDescent="0.3"/>
  <cols>
    <col min="1" max="1" width="10.83203125" style="1"/>
    <col min="2" max="2" width="15.5" style="1" customWidth="1"/>
    <col min="3" max="3" width="18.33203125" style="1" customWidth="1"/>
    <col min="4" max="4" width="9.33203125" style="1" customWidth="1"/>
    <col min="5" max="5" width="11.83203125" style="1" customWidth="1"/>
    <col min="6" max="6" width="9.33203125" style="1" customWidth="1"/>
    <col min="7" max="7" width="11.83203125" style="1" customWidth="1"/>
    <col min="8" max="8" width="9.33203125" style="1" customWidth="1"/>
    <col min="9" max="9" width="11.83203125" style="1" customWidth="1"/>
    <col min="10" max="10" width="9.33203125" style="1" customWidth="1"/>
    <col min="11" max="11" width="11.83203125" style="1" customWidth="1"/>
    <col min="12" max="12" width="9.33203125" style="1" customWidth="1"/>
    <col min="13" max="13" width="11.83203125" style="1" customWidth="1"/>
    <col min="14" max="14" width="9.33203125" style="1" customWidth="1"/>
    <col min="15" max="15" width="11.83203125" style="1" customWidth="1"/>
    <col min="16" max="16" width="9.33203125" style="1" customWidth="1"/>
    <col min="17" max="17" width="11.83203125" style="1" customWidth="1"/>
    <col min="18" max="18" width="9.33203125" style="1" customWidth="1"/>
    <col min="19" max="19" width="11.83203125" style="1" customWidth="1"/>
    <col min="20" max="29" width="20.83203125" style="1" customWidth="1"/>
    <col min="30" max="16384" width="10.83203125" style="1"/>
  </cols>
  <sheetData>
    <row r="5" spans="1:29" x14ac:dyDescent="0.3">
      <c r="B5" s="1" t="s">
        <v>141</v>
      </c>
      <c r="C5" s="5">
        <v>82</v>
      </c>
    </row>
    <row r="6" spans="1:29" x14ac:dyDescent="0.3">
      <c r="C6" s="1" t="s">
        <v>142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</row>
    <row r="10" spans="1:29" ht="100" x14ac:dyDescent="0.3">
      <c r="C10" s="4" t="s">
        <v>140</v>
      </c>
      <c r="D10" s="3" t="s">
        <v>137</v>
      </c>
      <c r="G10" s="3" t="s">
        <v>143</v>
      </c>
      <c r="J10" s="3" t="s">
        <v>138</v>
      </c>
      <c r="M10" s="3" t="s">
        <v>144</v>
      </c>
      <c r="P10" s="3" t="s">
        <v>139</v>
      </c>
      <c r="S10" s="3" t="s">
        <v>145</v>
      </c>
      <c r="V10" s="3" t="s">
        <v>147</v>
      </c>
      <c r="Y10" s="3" t="s">
        <v>146</v>
      </c>
      <c r="AB10" s="3"/>
      <c r="AC10" s="3"/>
    </row>
    <row r="11" spans="1:29" x14ac:dyDescent="0.3">
      <c r="A11" s="1">
        <v>0</v>
      </c>
      <c r="C11" s="1" t="str" cm="1">
        <f t="array" aca="1" ref="C11" ca="1">INDIRECT("RawData!A"&amp;TEXT(C$5+A11,"0"))</f>
        <v>Test5/gfortran.x</v>
      </c>
      <c r="D11" s="1" cm="1">
        <f t="array" aca="1" ref="D11" ca="1">INDIRECT("RawData!"&amp;ADDRESS($C$5+$A11,D$6))</f>
        <v>6.976</v>
      </c>
      <c r="E11" s="1" cm="1">
        <f t="array" aca="1" ref="E11" ca="1">INDIRECT("RawData!"&amp;ADDRESS($C$5+$A11,E$6))</f>
        <v>9.6710000000000004E-2</v>
      </c>
      <c r="F11" s="1" cm="1">
        <f t="array" aca="1" ref="F11" ca="1">INDIRECT("RawData!"&amp;ADDRESS($C$5+$A11,F$6))</f>
        <v>1.529E-2</v>
      </c>
      <c r="G11" s="1" cm="1">
        <f t="array" aca="1" ref="G11" ca="1">INDIRECT("RawData!"&amp;ADDRESS($C$5+$A11,G$6))</f>
        <v>6.9969999999999999</v>
      </c>
      <c r="H11" s="1" cm="1">
        <f t="array" aca="1" ref="H11" ca="1">INDIRECT("RawData!"&amp;ADDRESS($C$5+$A11,H$6))</f>
        <v>0.16325000000000001</v>
      </c>
      <c r="I11" s="1" cm="1">
        <f t="array" aca="1" ref="I11" ca="1">INDIRECT("RawData!"&amp;ADDRESS($C$5+$A11,I$6))</f>
        <v>2.581E-2</v>
      </c>
      <c r="J11" s="1" cm="1">
        <f t="array" aca="1" ref="J11" ca="1">INDIRECT("RawData!"&amp;ADDRESS($C$5+$A11,J$6))</f>
        <v>5.4359999999999999</v>
      </c>
      <c r="K11" s="1" cm="1">
        <f t="array" aca="1" ref="K11" ca="1">INDIRECT("RawData!"&amp;ADDRESS($C$5+$A11,K$6))</f>
        <v>3.9140000000000001E-2</v>
      </c>
      <c r="L11" s="1" cm="1">
        <f t="array" aca="1" ref="L11" ca="1">INDIRECT("RawData!"&amp;ADDRESS($C$5+$A11,L$6))</f>
        <v>6.1900000000000002E-3</v>
      </c>
      <c r="M11" s="1" cm="1">
        <f t="array" aca="1" ref="M11" ca="1">INDIRECT("RawData!"&amp;ADDRESS($C$5+$A11,M$6))</f>
        <v>5.4320000000000004</v>
      </c>
      <c r="N11" s="1" cm="1">
        <f t="array" aca="1" ref="N11" ca="1">INDIRECT("RawData!"&amp;ADDRESS($C$5+$A11,N$6))</f>
        <v>2.9860000000000001E-2</v>
      </c>
      <c r="O11" s="1" cm="1">
        <f t="array" aca="1" ref="O11" ca="1">INDIRECT("RawData!"&amp;ADDRESS($C$5+$A11,O$6))</f>
        <v>4.7200000000000002E-3</v>
      </c>
      <c r="P11" s="1" cm="1">
        <f t="array" aca="1" ref="P11" ca="1">INDIRECT("RawData!"&amp;ADDRESS($C$5+$A11,P$6))</f>
        <v>12.194000000000001</v>
      </c>
      <c r="Q11" s="1" cm="1">
        <f t="array" aca="1" ref="Q11" ca="1">INDIRECT("RawData!"&amp;ADDRESS($C$5+$A11,Q$6))</f>
        <v>0.93135999999999997</v>
      </c>
      <c r="R11" s="1" cm="1">
        <f t="array" aca="1" ref="R11" ca="1">INDIRECT("RawData!"&amp;ADDRESS($C$5+$A11,R$6))</f>
        <v>0.14726</v>
      </c>
      <c r="S11" s="1" cm="1">
        <f t="array" aca="1" ref="S11" ca="1">INDIRECT("RawData!"&amp;ADDRESS($C$5+$A11,S$6))</f>
        <v>11.163</v>
      </c>
      <c r="T11" s="1" cm="1">
        <f t="array" aca="1" ref="T11" ca="1">INDIRECT("RawData!"&amp;ADDRESS($C$5+$A11,T$6))</f>
        <v>0.71360000000000001</v>
      </c>
      <c r="U11" s="1" cm="1">
        <f t="array" aca="1" ref="U11" ca="1">INDIRECT("RawData!"&amp;ADDRESS($C$5+$A11,U$6))</f>
        <v>0.11283</v>
      </c>
      <c r="V11" s="1" cm="1">
        <f t="array" aca="1" ref="V11" ca="1">INDIRECT("RawData!"&amp;ADDRESS($C$5+$A11,V$6))</f>
        <v>6.6139999999999999</v>
      </c>
      <c r="W11" s="1" cm="1">
        <f t="array" aca="1" ref="W11" ca="1">INDIRECT("RawData!"&amp;ADDRESS($C$5+$A11,W$6))</f>
        <v>9.6310000000000007E-2</v>
      </c>
      <c r="X11" s="1" cm="1">
        <f t="array" aca="1" ref="X11" ca="1">INDIRECT("RawData!"&amp;ADDRESS($C$5+$A11,X$6))</f>
        <v>1.523E-2</v>
      </c>
      <c r="Y11" s="1" cm="1">
        <f t="array" aca="1" ref="Y11" ca="1">INDIRECT("RawData!"&amp;ADDRESS($C$5+$A11,Y$6))</f>
        <v>6.5739999999999998</v>
      </c>
      <c r="Z11" s="1" cm="1">
        <f t="array" aca="1" ref="Z11" ca="1">INDIRECT("RawData!"&amp;ADDRESS($C$5+$A11,Z$6))</f>
        <v>5.0340000000000003E-2</v>
      </c>
      <c r="AA11" s="1" cm="1">
        <f t="array" aca="1" ref="AA11" ca="1">INDIRECT("RawData!"&amp;ADDRESS($C$5+$A11,AA$6))</f>
        <v>7.9600000000000001E-3</v>
      </c>
    </row>
    <row r="12" spans="1:29" x14ac:dyDescent="0.3">
      <c r="A12" s="1">
        <v>1</v>
      </c>
      <c r="C12" s="1" t="str" cm="1">
        <f t="array" aca="1" ref="C12" ca="1">INDIRECT("RawData!A"&amp;TEXT(C$5+A12,"0"))</f>
        <v>Test5/gfortran_o3.x</v>
      </c>
      <c r="D12" s="1" cm="1">
        <f t="array" aca="1" ref="D12" ca="1">INDIRECT("RawData!"&amp;ADDRESS($C$5+$A12,D$6))</f>
        <v>7.0049999999999999</v>
      </c>
      <c r="E12" s="1" cm="1">
        <f t="array" aca="1" ref="E12" ca="1">INDIRECT("RawData!"&amp;ADDRESS($C$5+$A12,E$6))</f>
        <v>0.15079000000000001</v>
      </c>
      <c r="F12" s="1" cm="1">
        <f t="array" aca="1" ref="F12" ca="1">INDIRECT("RawData!"&amp;ADDRESS($C$5+$A12,F$6))</f>
        <v>2.384E-2</v>
      </c>
      <c r="G12" s="1" cm="1">
        <f t="array" aca="1" ref="G12" ca="1">INDIRECT("RawData!"&amp;ADDRESS($C$5+$A12,G$6))</f>
        <v>6.9429999999999996</v>
      </c>
      <c r="H12" s="1" cm="1">
        <f t="array" aca="1" ref="H12" ca="1">INDIRECT("RawData!"&amp;ADDRESS($C$5+$A12,H$6))</f>
        <v>0.20191999999999999</v>
      </c>
      <c r="I12" s="1" cm="1">
        <f t="array" aca="1" ref="I12" ca="1">INDIRECT("RawData!"&amp;ADDRESS($C$5+$A12,I$6))</f>
        <v>3.193E-2</v>
      </c>
      <c r="J12" s="1" cm="1">
        <f t="array" aca="1" ref="J12" ca="1">INDIRECT("RawData!"&amp;ADDRESS($C$5+$A12,J$6))</f>
        <v>5.4240000000000004</v>
      </c>
      <c r="K12" s="1" cm="1">
        <f t="array" aca="1" ref="K12" ca="1">INDIRECT("RawData!"&amp;ADDRESS($C$5+$A12,K$6))</f>
        <v>2.835E-2</v>
      </c>
      <c r="L12" s="1" cm="1">
        <f t="array" aca="1" ref="L12" ca="1">INDIRECT("RawData!"&amp;ADDRESS($C$5+$A12,L$6))</f>
        <v>4.4799999999999996E-3</v>
      </c>
      <c r="M12" s="1" cm="1">
        <f t="array" aca="1" ref="M12" ca="1">INDIRECT("RawData!"&amp;ADDRESS($C$5+$A12,M$6))</f>
        <v>5.4240000000000004</v>
      </c>
      <c r="N12" s="1" cm="1">
        <f t="array" aca="1" ref="N12" ca="1">INDIRECT("RawData!"&amp;ADDRESS($C$5+$A12,N$6))</f>
        <v>2.962E-2</v>
      </c>
      <c r="O12" s="1" cm="1">
        <f t="array" aca="1" ref="O12" ca="1">INDIRECT("RawData!"&amp;ADDRESS($C$5+$A12,O$6))</f>
        <v>4.6800000000000001E-3</v>
      </c>
      <c r="P12" s="1" cm="1">
        <f t="array" aca="1" ref="P12" ca="1">INDIRECT("RawData!"&amp;ADDRESS($C$5+$A12,P$6))</f>
        <v>12.319000000000001</v>
      </c>
      <c r="Q12" s="1" cm="1">
        <f t="array" aca="1" ref="Q12" ca="1">INDIRECT("RawData!"&amp;ADDRESS($C$5+$A12,Q$6))</f>
        <v>0.78083999999999998</v>
      </c>
      <c r="R12" s="1" cm="1">
        <f t="array" aca="1" ref="R12" ca="1">INDIRECT("RawData!"&amp;ADDRESS($C$5+$A12,R$6))</f>
        <v>0.12346</v>
      </c>
      <c r="S12" s="1" cm="1">
        <f t="array" aca="1" ref="S12" ca="1">INDIRECT("RawData!"&amp;ADDRESS($C$5+$A12,S$6))</f>
        <v>11.407999999999999</v>
      </c>
      <c r="T12" s="1" cm="1">
        <f t="array" aca="1" ref="T12" ca="1">INDIRECT("RawData!"&amp;ADDRESS($C$5+$A12,T$6))</f>
        <v>0.79593999999999998</v>
      </c>
      <c r="U12" s="1" cm="1">
        <f t="array" aca="1" ref="U12" ca="1">INDIRECT("RawData!"&amp;ADDRESS($C$5+$A12,U$6))</f>
        <v>0.12584999999999999</v>
      </c>
      <c r="V12" s="1" cm="1">
        <f t="array" aca="1" ref="V12" ca="1">INDIRECT("RawData!"&amp;ADDRESS($C$5+$A12,V$6))</f>
        <v>6.5129999999999999</v>
      </c>
      <c r="W12" s="1" cm="1">
        <f t="array" aca="1" ref="W12" ca="1">INDIRECT("RawData!"&amp;ADDRESS($C$5+$A12,W$6))</f>
        <v>5.459E-2</v>
      </c>
      <c r="X12" s="1" cm="1">
        <f t="array" aca="1" ref="X12" ca="1">INDIRECT("RawData!"&amp;ADDRESS($C$5+$A12,X$6))</f>
        <v>8.6300000000000005E-3</v>
      </c>
      <c r="Y12" s="1" cm="1">
        <f t="array" aca="1" ref="Y12" ca="1">INDIRECT("RawData!"&amp;ADDRESS($C$5+$A12,Y$6))</f>
        <v>6.5389999999999997</v>
      </c>
      <c r="Z12" s="1" cm="1">
        <f t="array" aca="1" ref="Z12" ca="1">INDIRECT("RawData!"&amp;ADDRESS($C$5+$A12,Z$6))</f>
        <v>4.1110000000000001E-2</v>
      </c>
      <c r="AA12" s="1" cm="1">
        <f t="array" aca="1" ref="AA12" ca="1">INDIRECT("RawData!"&amp;ADDRESS($C$5+$A12,AA$6))</f>
        <v>6.4999999999999997E-3</v>
      </c>
    </row>
    <row r="13" spans="1:29" x14ac:dyDescent="0.3">
      <c r="A13" s="1">
        <v>2</v>
      </c>
      <c r="C13" s="1" t="str" cm="1">
        <f t="array" aca="1" ref="C13" ca="1">INDIRECT("RawData!A"&amp;TEXT(C$5+A13,"0"))</f>
        <v>Test5/ifx.x</v>
      </c>
      <c r="D13" s="1" cm="1">
        <f t="array" aca="1" ref="D13" ca="1">INDIRECT("RawData!"&amp;ADDRESS($C$5+$A13,D$6))</f>
        <v>6.85</v>
      </c>
      <c r="E13" s="1" cm="1">
        <f t="array" aca="1" ref="E13" ca="1">INDIRECT("RawData!"&amp;ADDRESS($C$5+$A13,E$6))</f>
        <v>0.66215999999999997</v>
      </c>
      <c r="F13" s="1" cm="1">
        <f t="array" aca="1" ref="F13" ca="1">INDIRECT("RawData!"&amp;ADDRESS($C$5+$A13,F$6))</f>
        <v>0.1047</v>
      </c>
      <c r="G13" s="1" cm="1">
        <f t="array" aca="1" ref="G13" ca="1">INDIRECT("RawData!"&amp;ADDRESS($C$5+$A13,G$6))</f>
        <v>3.85</v>
      </c>
      <c r="H13" s="1" cm="1">
        <f t="array" aca="1" ref="H13" ca="1">INDIRECT("RawData!"&amp;ADDRESS($C$5+$A13,H$6))</f>
        <v>1.05125</v>
      </c>
      <c r="I13" s="1" cm="1">
        <f t="array" aca="1" ref="I13" ca="1">INDIRECT("RawData!"&amp;ADDRESS($C$5+$A13,I$6))</f>
        <v>0.16622000000000001</v>
      </c>
      <c r="J13" s="1" cm="1">
        <f t="array" aca="1" ref="J13" ca="1">INDIRECT("RawData!"&amp;ADDRESS($C$5+$A13,J$6))</f>
        <v>5.4080000000000004</v>
      </c>
      <c r="K13" s="1" cm="1">
        <f t="array" aca="1" ref="K13" ca="1">INDIRECT("RawData!"&amp;ADDRESS($C$5+$A13,K$6))</f>
        <v>3.4229999999999997E-2</v>
      </c>
      <c r="L13" s="1" cm="1">
        <f t="array" aca="1" ref="L13" ca="1">INDIRECT("RawData!"&amp;ADDRESS($C$5+$A13,L$6))</f>
        <v>5.4099999999999999E-3</v>
      </c>
      <c r="M13" s="1" cm="1">
        <f t="array" aca="1" ref="M13" ca="1">INDIRECT("RawData!"&amp;ADDRESS($C$5+$A13,M$6))</f>
        <v>2.0030000000000001</v>
      </c>
      <c r="N13" s="1" cm="1">
        <f t="array" aca="1" ref="N13" ca="1">INDIRECT("RawData!"&amp;ADDRESS($C$5+$A13,N$6))</f>
        <v>7.0680000000000007E-2</v>
      </c>
      <c r="O13" s="1" cm="1">
        <f t="array" aca="1" ref="O13" ca="1">INDIRECT("RawData!"&amp;ADDRESS($C$5+$A13,O$6))</f>
        <v>1.1180000000000001E-2</v>
      </c>
      <c r="P13" s="1" cm="1">
        <f t="array" aca="1" ref="P13" ca="1">INDIRECT("RawData!"&amp;ADDRESS($C$5+$A13,P$6))</f>
        <v>0</v>
      </c>
      <c r="Q13" s="1" cm="1">
        <f t="array" aca="1" ref="Q13" ca="1">INDIRECT("RawData!"&amp;ADDRESS($C$5+$A13,Q$6))</f>
        <v>0</v>
      </c>
      <c r="R13" s="1" cm="1">
        <f t="array" aca="1" ref="R13" ca="1">INDIRECT("RawData!"&amp;ADDRESS($C$5+$A13,R$6))</f>
        <v>0</v>
      </c>
      <c r="S13" s="1" cm="1">
        <f t="array" aca="1" ref="S13" ca="1">INDIRECT("RawData!"&amp;ADDRESS($C$5+$A13,S$6))</f>
        <v>0</v>
      </c>
      <c r="T13" s="1" cm="1">
        <f t="array" aca="1" ref="T13" ca="1">INDIRECT("RawData!"&amp;ADDRESS($C$5+$A13,T$6))</f>
        <v>0</v>
      </c>
      <c r="U13" s="1" cm="1">
        <f t="array" aca="1" ref="U13" ca="1">INDIRECT("RawData!"&amp;ADDRESS($C$5+$A13,U$6))</f>
        <v>0</v>
      </c>
      <c r="V13" s="1" cm="1">
        <f t="array" aca="1" ref="V13" ca="1">INDIRECT("RawData!"&amp;ADDRESS($C$5+$A13,V$6))</f>
        <v>6.5730000000000004</v>
      </c>
      <c r="W13" s="1" cm="1">
        <f t="array" aca="1" ref="W13" ca="1">INDIRECT("RawData!"&amp;ADDRESS($C$5+$A13,W$6))</f>
        <v>0.11157</v>
      </c>
      <c r="X13" s="1" cm="1">
        <f t="array" aca="1" ref="X13" ca="1">INDIRECT("RawData!"&amp;ADDRESS($C$5+$A13,X$6))</f>
        <v>1.7639999999999999E-2</v>
      </c>
      <c r="Y13" s="1" cm="1">
        <f t="array" aca="1" ref="Y13" ca="1">INDIRECT("RawData!"&amp;ADDRESS($C$5+$A13,Y$6))</f>
        <v>4.6020000000000003</v>
      </c>
      <c r="Z13" s="1" cm="1">
        <f t="array" aca="1" ref="Z13" ca="1">INDIRECT("RawData!"&amp;ADDRESS($C$5+$A13,Z$6))</f>
        <v>5.1729999999999998E-2</v>
      </c>
      <c r="AA13" s="1" cm="1">
        <f t="array" aca="1" ref="AA13" ca="1">INDIRECT("RawData!"&amp;ADDRESS($C$5+$A13,AA$6))</f>
        <v>8.1799999999999998E-3</v>
      </c>
    </row>
    <row r="14" spans="1:29" x14ac:dyDescent="0.3">
      <c r="A14" s="1">
        <v>3</v>
      </c>
      <c r="C14" s="1" t="str" cm="1">
        <f t="array" aca="1" ref="C14" ca="1">INDIRECT("RawData!A"&amp;TEXT(C$5+A14,"0"))</f>
        <v>Test5/ifx_o3.x</v>
      </c>
      <c r="D14" s="1" cm="1">
        <f t="array" aca="1" ref="D14" ca="1">INDIRECT("RawData!"&amp;ADDRESS($C$5+$A14,D$6))</f>
        <v>7</v>
      </c>
      <c r="E14" s="1" cm="1">
        <f t="array" aca="1" ref="E14" ca="1">INDIRECT("RawData!"&amp;ADDRESS($C$5+$A14,E$6))</f>
        <v>1.13228</v>
      </c>
      <c r="F14" s="1" cm="1">
        <f t="array" aca="1" ref="F14" ca="1">INDIRECT("RawData!"&amp;ADDRESS($C$5+$A14,F$6))</f>
        <v>0.17902999999999999</v>
      </c>
      <c r="G14" s="1" cm="1">
        <f t="array" aca="1" ref="G14" ca="1">INDIRECT("RawData!"&amp;ADDRESS($C$5+$A14,G$6))</f>
        <v>3.9</v>
      </c>
      <c r="H14" s="1" cm="1">
        <f t="array" aca="1" ref="H14" ca="1">INDIRECT("RawData!"&amp;ADDRESS($C$5+$A14,H$6))</f>
        <v>0.87119000000000002</v>
      </c>
      <c r="I14" s="1" cm="1">
        <f t="array" aca="1" ref="I14" ca="1">INDIRECT("RawData!"&amp;ADDRESS($C$5+$A14,I$6))</f>
        <v>0.13775000000000001</v>
      </c>
      <c r="J14" s="1" cm="1">
        <f t="array" aca="1" ref="J14" ca="1">INDIRECT("RawData!"&amp;ADDRESS($C$5+$A14,J$6))</f>
        <v>5.4089999999999998</v>
      </c>
      <c r="K14" s="1" cm="1">
        <f t="array" aca="1" ref="K14" ca="1">INDIRECT("RawData!"&amp;ADDRESS($C$5+$A14,K$6))</f>
        <v>2.6169999999999999E-2</v>
      </c>
      <c r="L14" s="1" cm="1">
        <f t="array" aca="1" ref="L14" ca="1">INDIRECT("RawData!"&amp;ADDRESS($C$5+$A14,L$6))</f>
        <v>4.1399999999999996E-3</v>
      </c>
      <c r="M14" s="1" cm="1">
        <f t="array" aca="1" ref="M14" ca="1">INDIRECT("RawData!"&amp;ADDRESS($C$5+$A14,M$6))</f>
        <v>1.9870000000000001</v>
      </c>
      <c r="N14" s="1" cm="1">
        <f t="array" aca="1" ref="N14" ca="1">INDIRECT("RawData!"&amp;ADDRESS($C$5+$A14,N$6))</f>
        <v>0.10933</v>
      </c>
      <c r="O14" s="1" cm="1">
        <f t="array" aca="1" ref="O14" ca="1">INDIRECT("RawData!"&amp;ADDRESS($C$5+$A14,O$6))</f>
        <v>1.729E-2</v>
      </c>
      <c r="P14" s="1" cm="1">
        <f t="array" aca="1" ref="P14" ca="1">INDIRECT("RawData!"&amp;ADDRESS($C$5+$A14,P$6))</f>
        <v>0</v>
      </c>
      <c r="Q14" s="1" cm="1">
        <f t="array" aca="1" ref="Q14" ca="1">INDIRECT("RawData!"&amp;ADDRESS($C$5+$A14,Q$6))</f>
        <v>0</v>
      </c>
      <c r="R14" s="1" cm="1">
        <f t="array" aca="1" ref="R14" ca="1">INDIRECT("RawData!"&amp;ADDRESS($C$5+$A14,R$6))</f>
        <v>0</v>
      </c>
      <c r="S14" s="1" cm="1">
        <f t="array" aca="1" ref="S14" ca="1">INDIRECT("RawData!"&amp;ADDRESS($C$5+$A14,S$6))</f>
        <v>0</v>
      </c>
      <c r="T14" s="1" cm="1">
        <f t="array" aca="1" ref="T14" ca="1">INDIRECT("RawData!"&amp;ADDRESS($C$5+$A14,T$6))</f>
        <v>0</v>
      </c>
      <c r="U14" s="1" cm="1">
        <f t="array" aca="1" ref="U14" ca="1">INDIRECT("RawData!"&amp;ADDRESS($C$5+$A14,U$6))</f>
        <v>0</v>
      </c>
      <c r="V14" s="1" cm="1">
        <f t="array" aca="1" ref="V14" ca="1">INDIRECT("RawData!"&amp;ADDRESS($C$5+$A14,V$6))</f>
        <v>6.625</v>
      </c>
      <c r="W14" s="1" cm="1">
        <f t="array" aca="1" ref="W14" ca="1">INDIRECT("RawData!"&amp;ADDRESS($C$5+$A14,W$6))</f>
        <v>0.17068</v>
      </c>
      <c r="X14" s="1" cm="1">
        <f t="array" aca="1" ref="X14" ca="1">INDIRECT("RawData!"&amp;ADDRESS($C$5+$A14,X$6))</f>
        <v>2.699E-2</v>
      </c>
      <c r="Y14" s="1" cm="1">
        <f t="array" aca="1" ref="Y14" ca="1">INDIRECT("RawData!"&amp;ADDRESS($C$5+$A14,Y$6))</f>
        <v>4.601</v>
      </c>
      <c r="Z14" s="1" cm="1">
        <f t="array" aca="1" ref="Z14" ca="1">INDIRECT("RawData!"&amp;ADDRESS($C$5+$A14,Z$6))</f>
        <v>5.3420000000000002E-2</v>
      </c>
      <c r="AA14" s="1" cm="1">
        <f t="array" aca="1" ref="AA14" ca="1">INDIRECT("RawData!"&amp;ADDRESS($C$5+$A14,AA$6))</f>
        <v>8.4499999999999992E-3</v>
      </c>
    </row>
    <row r="15" spans="1:29" x14ac:dyDescent="0.3">
      <c r="A15" s="1">
        <v>4</v>
      </c>
      <c r="C15" s="1" t="str" cm="1">
        <f t="array" aca="1" ref="C15" ca="1">INDIRECT("RawData!A"&amp;TEXT(C$5+A15,"0"))</f>
        <v>Test5/gpp.x</v>
      </c>
      <c r="D15" s="1" cm="1">
        <f t="array" aca="1" ref="D15" ca="1">INDIRECT("RawData!"&amp;ADDRESS($C$5+$A15,D$6))</f>
        <v>7.1040000000000001</v>
      </c>
      <c r="E15" s="1" cm="1">
        <f t="array" aca="1" ref="E15" ca="1">INDIRECT("RawData!"&amp;ADDRESS($C$5+$A15,E$6))</f>
        <v>0.24468000000000001</v>
      </c>
      <c r="F15" s="1" cm="1">
        <f t="array" aca="1" ref="F15" ca="1">INDIRECT("RawData!"&amp;ADDRESS($C$5+$A15,F$6))</f>
        <v>3.8690000000000002E-2</v>
      </c>
      <c r="G15" s="1" cm="1">
        <f t="array" aca="1" ref="G15" ca="1">INDIRECT("RawData!"&amp;ADDRESS($C$5+$A15,G$6))</f>
        <v>7.2480000000000002</v>
      </c>
      <c r="H15" s="1" cm="1">
        <f t="array" aca="1" ref="H15" ca="1">INDIRECT("RawData!"&amp;ADDRESS($C$5+$A15,H$6))</f>
        <v>0.23235</v>
      </c>
      <c r="I15" s="1" cm="1">
        <f t="array" aca="1" ref="I15" ca="1">INDIRECT("RawData!"&amp;ADDRESS($C$5+$A15,I$6))</f>
        <v>3.6740000000000002E-2</v>
      </c>
      <c r="J15" s="1" cm="1">
        <f t="array" aca="1" ref="J15" ca="1">INDIRECT("RawData!"&amp;ADDRESS($C$5+$A15,J$6))</f>
        <v>32.521999999999998</v>
      </c>
      <c r="K15" s="1" cm="1">
        <f t="array" aca="1" ref="K15" ca="1">INDIRECT("RawData!"&amp;ADDRESS($C$5+$A15,K$6))</f>
        <v>0.16256000000000001</v>
      </c>
      <c r="L15" s="1" cm="1">
        <f t="array" aca="1" ref="L15" ca="1">INDIRECT("RawData!"&amp;ADDRESS($C$5+$A15,L$6))</f>
        <v>2.5700000000000001E-2</v>
      </c>
      <c r="M15" s="1" cm="1">
        <f t="array" aca="1" ref="M15" ca="1">INDIRECT("RawData!"&amp;ADDRESS($C$5+$A15,M$6))</f>
        <v>26.975999999999999</v>
      </c>
      <c r="N15" s="1" cm="1">
        <f t="array" aca="1" ref="N15" ca="1">INDIRECT("RawData!"&amp;ADDRESS($C$5+$A15,N$6))</f>
        <v>9.6420000000000006E-2</v>
      </c>
      <c r="O15" s="1" cm="1">
        <f t="array" aca="1" ref="O15" ca="1">INDIRECT("RawData!"&amp;ADDRESS($C$5+$A15,O$6))</f>
        <v>1.525E-2</v>
      </c>
      <c r="P15" s="1" cm="1">
        <f t="array" aca="1" ref="P15" ca="1">INDIRECT("RawData!"&amp;ADDRESS($C$5+$A15,P$6))</f>
        <v>12.673999999999999</v>
      </c>
      <c r="Q15" s="1" cm="1">
        <f t="array" aca="1" ref="Q15" ca="1">INDIRECT("RawData!"&amp;ADDRESS($C$5+$A15,Q$6))</f>
        <v>0.81249000000000005</v>
      </c>
      <c r="R15" s="1" cm="1">
        <f t="array" aca="1" ref="R15" ca="1">INDIRECT("RawData!"&amp;ADDRESS($C$5+$A15,R$6))</f>
        <v>0.12847</v>
      </c>
      <c r="S15" s="1" cm="1">
        <f t="array" aca="1" ref="S15" ca="1">INDIRECT("RawData!"&amp;ADDRESS($C$5+$A15,S$6))</f>
        <v>11.153</v>
      </c>
      <c r="T15" s="1" cm="1">
        <f t="array" aca="1" ref="T15" ca="1">INDIRECT("RawData!"&amp;ADDRESS($C$5+$A15,T$6))</f>
        <v>0.77281999999999995</v>
      </c>
      <c r="U15" s="1" cm="1">
        <f t="array" aca="1" ref="U15" ca="1">INDIRECT("RawData!"&amp;ADDRESS($C$5+$A15,U$6))</f>
        <v>0.12218999999999999</v>
      </c>
      <c r="V15" s="1" cm="1">
        <f t="array" aca="1" ref="V15" ca="1">INDIRECT("RawData!"&amp;ADDRESS($C$5+$A15,V$6))</f>
        <v>18.952999999999999</v>
      </c>
      <c r="W15" s="1" cm="1">
        <f t="array" aca="1" ref="W15" ca="1">INDIRECT("RawData!"&amp;ADDRESS($C$5+$A15,W$6))</f>
        <v>0.28650999999999999</v>
      </c>
      <c r="X15" s="1" cm="1">
        <f t="array" aca="1" ref="X15" ca="1">INDIRECT("RawData!"&amp;ADDRESS($C$5+$A15,X$6))</f>
        <v>4.53E-2</v>
      </c>
      <c r="Y15" s="1" cm="1">
        <f t="array" aca="1" ref="Y15" ca="1">INDIRECT("RawData!"&amp;ADDRESS($C$5+$A15,Y$6))</f>
        <v>18.722000000000001</v>
      </c>
      <c r="Z15" s="1" cm="1">
        <f t="array" aca="1" ref="Z15" ca="1">INDIRECT("RawData!"&amp;ADDRESS($C$5+$A15,Z$6))</f>
        <v>4.095E-2</v>
      </c>
      <c r="AA15" s="1" cm="1">
        <f t="array" aca="1" ref="AA15" ca="1">INDIRECT("RawData!"&amp;ADDRESS($C$5+$A15,AA$6))</f>
        <v>6.4700000000000001E-3</v>
      </c>
    </row>
    <row r="16" spans="1:29" x14ac:dyDescent="0.3">
      <c r="A16" s="1">
        <v>5</v>
      </c>
      <c r="C16" s="1" t="str" cm="1">
        <f t="array" aca="1" ref="C16" ca="1">INDIRECT("RawData!A"&amp;TEXT(C$5+A16,"0"))</f>
        <v>Test5/gpp_o3.x</v>
      </c>
      <c r="D16" s="1" cm="1">
        <f t="array" aca="1" ref="D16" ca="1">INDIRECT("RawData!"&amp;ADDRESS($C$5+$A16,D$6))</f>
        <v>7.0810000000000004</v>
      </c>
      <c r="E16" s="1" cm="1">
        <f t="array" aca="1" ref="E16" ca="1">INDIRECT("RawData!"&amp;ADDRESS($C$5+$A16,E$6))</f>
        <v>0.22588</v>
      </c>
      <c r="F16" s="1" cm="1">
        <f t="array" aca="1" ref="F16" ca="1">INDIRECT("RawData!"&amp;ADDRESS($C$5+$A16,F$6))</f>
        <v>3.5709999999999999E-2</v>
      </c>
      <c r="G16" s="1" cm="1">
        <f t="array" aca="1" ref="G16" ca="1">INDIRECT("RawData!"&amp;ADDRESS($C$5+$A16,G$6))</f>
        <v>7.0389999999999997</v>
      </c>
      <c r="H16" s="1" cm="1">
        <f t="array" aca="1" ref="H16" ca="1">INDIRECT("RawData!"&amp;ADDRESS($C$5+$A16,H$6))</f>
        <v>0.23069999999999999</v>
      </c>
      <c r="I16" s="1" cm="1">
        <f t="array" aca="1" ref="I16" ca="1">INDIRECT("RawData!"&amp;ADDRESS($C$5+$A16,I$6))</f>
        <v>3.6479999999999999E-2</v>
      </c>
      <c r="J16" s="1" cm="1">
        <f t="array" aca="1" ref="J16" ca="1">INDIRECT("RawData!"&amp;ADDRESS($C$5+$A16,J$6))</f>
        <v>18.863</v>
      </c>
      <c r="K16" s="1" cm="1">
        <f t="array" aca="1" ref="K16" ca="1">INDIRECT("RawData!"&amp;ADDRESS($C$5+$A16,K$6))</f>
        <v>5.0180000000000002E-2</v>
      </c>
      <c r="L16" s="1" cm="1">
        <f t="array" aca="1" ref="L16" ca="1">INDIRECT("RawData!"&amp;ADDRESS($C$5+$A16,L$6))</f>
        <v>7.9299999999999995E-3</v>
      </c>
      <c r="M16" s="1" cm="1">
        <f t="array" aca="1" ref="M16" ca="1">INDIRECT("RawData!"&amp;ADDRESS($C$5+$A16,M$6))</f>
        <v>8.0909999999999993</v>
      </c>
      <c r="N16" s="1" cm="1">
        <f t="array" aca="1" ref="N16" ca="1">INDIRECT("RawData!"&amp;ADDRESS($C$5+$A16,N$6))</f>
        <v>2.964E-2</v>
      </c>
      <c r="O16" s="1" cm="1">
        <f t="array" aca="1" ref="O16" ca="1">INDIRECT("RawData!"&amp;ADDRESS($C$5+$A16,O$6))</f>
        <v>4.6899999999999997E-3</v>
      </c>
      <c r="P16" s="1" cm="1">
        <f t="array" aca="1" ref="P16" ca="1">INDIRECT("RawData!"&amp;ADDRESS($C$5+$A16,P$6))</f>
        <v>12.795</v>
      </c>
      <c r="Q16" s="1" cm="1">
        <f t="array" aca="1" ref="Q16" ca="1">INDIRECT("RawData!"&amp;ADDRESS($C$5+$A16,Q$6))</f>
        <v>0.73043000000000002</v>
      </c>
      <c r="R16" s="1" cm="1">
        <f t="array" aca="1" ref="R16" ca="1">INDIRECT("RawData!"&amp;ADDRESS($C$5+$A16,R$6))</f>
        <v>0.11549</v>
      </c>
      <c r="S16" s="1" cm="1">
        <f t="array" aca="1" ref="S16" ca="1">INDIRECT("RawData!"&amp;ADDRESS($C$5+$A16,S$6))</f>
        <v>11.103999999999999</v>
      </c>
      <c r="T16" s="1" cm="1">
        <f t="array" aca="1" ref="T16" ca="1">INDIRECT("RawData!"&amp;ADDRESS($C$5+$A16,T$6))</f>
        <v>0.71487999999999996</v>
      </c>
      <c r="U16" s="1" cm="1">
        <f t="array" aca="1" ref="U16" ca="1">INDIRECT("RawData!"&amp;ADDRESS($C$5+$A16,U$6))</f>
        <v>0.11303000000000001</v>
      </c>
      <c r="V16" s="1" cm="1">
        <f t="array" aca="1" ref="V16" ca="1">INDIRECT("RawData!"&amp;ADDRESS($C$5+$A16,V$6))</f>
        <v>12.614000000000001</v>
      </c>
      <c r="W16" s="1" cm="1">
        <f t="array" aca="1" ref="W16" ca="1">INDIRECT("RawData!"&amp;ADDRESS($C$5+$A16,W$6))</f>
        <v>0.21818000000000001</v>
      </c>
      <c r="X16" s="1" cm="1">
        <f t="array" aca="1" ref="X16" ca="1">INDIRECT("RawData!"&amp;ADDRESS($C$5+$A16,X$6))</f>
        <v>3.4500000000000003E-2</v>
      </c>
      <c r="Y16" s="1" cm="1">
        <f t="array" aca="1" ref="Y16" ca="1">INDIRECT("RawData!"&amp;ADDRESS($C$5+$A16,Y$6))</f>
        <v>9.6059999999999999</v>
      </c>
      <c r="Z16" s="1" cm="1">
        <f t="array" aca="1" ref="Z16" ca="1">INDIRECT("RawData!"&amp;ADDRESS($C$5+$A16,Z$6))</f>
        <v>6.3159999999999994E-2</v>
      </c>
      <c r="AA16" s="1" cm="1">
        <f t="array" aca="1" ref="AA16" ca="1">INDIRECT("RawData!"&amp;ADDRESS($C$5+$A16,AA$6))</f>
        <v>9.9900000000000006E-3</v>
      </c>
    </row>
    <row r="17" spans="1:27" x14ac:dyDescent="0.3">
      <c r="A17" s="1">
        <v>6</v>
      </c>
      <c r="C17" s="1" t="str" cm="1">
        <f t="array" aca="1" ref="C17" ca="1">INDIRECT("RawData!A"&amp;TEXT(C$5+A17,"0"))</f>
        <v>Test5/icx.x</v>
      </c>
      <c r="D17" s="1" cm="1">
        <f t="array" aca="1" ref="D17" ca="1">INDIRECT("RawData!"&amp;ADDRESS($C$5+$A17,D$6))</f>
        <v>4.8540000000000001</v>
      </c>
      <c r="E17" s="1" cm="1">
        <f t="array" aca="1" ref="E17" ca="1">INDIRECT("RawData!"&amp;ADDRESS($C$5+$A17,E$6))</f>
        <v>0.63688999999999996</v>
      </c>
      <c r="F17" s="1" cm="1">
        <f t="array" aca="1" ref="F17" ca="1">INDIRECT("RawData!"&amp;ADDRESS($C$5+$A17,F$6))</f>
        <v>0.1007</v>
      </c>
      <c r="G17" s="1" cm="1">
        <f t="array" aca="1" ref="G17" ca="1">INDIRECT("RawData!"&amp;ADDRESS($C$5+$A17,G$6))</f>
        <v>4.1669999999999998</v>
      </c>
      <c r="H17" s="1" cm="1">
        <f t="array" aca="1" ref="H17" ca="1">INDIRECT("RawData!"&amp;ADDRESS($C$5+$A17,H$6))</f>
        <v>0.34379999999999999</v>
      </c>
      <c r="I17" s="1" cm="1">
        <f t="array" aca="1" ref="I17" ca="1">INDIRECT("RawData!"&amp;ADDRESS($C$5+$A17,I$6))</f>
        <v>5.4359999999999999E-2</v>
      </c>
      <c r="J17" s="1" cm="1">
        <f t="array" aca="1" ref="J17" ca="1">INDIRECT("RawData!"&amp;ADDRESS($C$5+$A17,J$6))</f>
        <v>1.925</v>
      </c>
      <c r="K17" s="1" cm="1">
        <f t="array" aca="1" ref="K17" ca="1">INDIRECT("RawData!"&amp;ADDRESS($C$5+$A17,K$6))</f>
        <v>0.14218</v>
      </c>
      <c r="L17" s="1" cm="1">
        <f t="array" aca="1" ref="L17" ca="1">INDIRECT("RawData!"&amp;ADDRESS($C$5+$A17,L$6))</f>
        <v>2.248E-2</v>
      </c>
      <c r="M17" s="1" cm="1">
        <f t="array" aca="1" ref="M17" ca="1">INDIRECT("RawData!"&amp;ADDRESS($C$5+$A17,M$6))</f>
        <v>1.8620000000000001</v>
      </c>
      <c r="N17" s="1" cm="1">
        <f t="array" aca="1" ref="N17" ca="1">INDIRECT("RawData!"&amp;ADDRESS($C$5+$A17,N$6))</f>
        <v>0.13259000000000001</v>
      </c>
      <c r="O17" s="1" cm="1">
        <f t="array" aca="1" ref="O17" ca="1">INDIRECT("RawData!"&amp;ADDRESS($C$5+$A17,O$6))</f>
        <v>2.0959999999999999E-2</v>
      </c>
      <c r="P17" s="1" cm="1">
        <f t="array" aca="1" ref="P17" ca="1">INDIRECT("RawData!"&amp;ADDRESS($C$5+$A17,P$6))</f>
        <v>0</v>
      </c>
      <c r="Q17" s="1" cm="1">
        <f t="array" aca="1" ref="Q17" ca="1">INDIRECT("RawData!"&amp;ADDRESS($C$5+$A17,Q$6))</f>
        <v>0</v>
      </c>
      <c r="R17" s="1" cm="1">
        <f t="array" aca="1" ref="R17" ca="1">INDIRECT("RawData!"&amp;ADDRESS($C$5+$A17,R$6))</f>
        <v>0</v>
      </c>
      <c r="S17" s="1" cm="1">
        <f t="array" aca="1" ref="S17" ca="1">INDIRECT("RawData!"&amp;ADDRESS($C$5+$A17,S$6))</f>
        <v>0</v>
      </c>
      <c r="T17" s="1" cm="1">
        <f t="array" aca="1" ref="T17" ca="1">INDIRECT("RawData!"&amp;ADDRESS($C$5+$A17,T$6))</f>
        <v>0</v>
      </c>
      <c r="U17" s="1" cm="1">
        <f t="array" aca="1" ref="U17" ca="1">INDIRECT("RawData!"&amp;ADDRESS($C$5+$A17,U$6))</f>
        <v>0</v>
      </c>
      <c r="V17" s="1" cm="1">
        <f t="array" aca="1" ref="V17" ca="1">INDIRECT("RawData!"&amp;ADDRESS($C$5+$A17,V$6))</f>
        <v>5.4859999999999998</v>
      </c>
      <c r="W17" s="1" cm="1">
        <f t="array" aca="1" ref="W17" ca="1">INDIRECT("RawData!"&amp;ADDRESS($C$5+$A17,W$6))</f>
        <v>0.27350999999999998</v>
      </c>
      <c r="X17" s="1" cm="1">
        <f t="array" aca="1" ref="X17" ca="1">INDIRECT("RawData!"&amp;ADDRESS($C$5+$A17,X$6))</f>
        <v>4.3249999999999997E-2</v>
      </c>
      <c r="Y17" s="1" cm="1">
        <f t="array" aca="1" ref="Y17" ca="1">INDIRECT("RawData!"&amp;ADDRESS($C$5+$A17,Y$6))</f>
        <v>4.6360000000000001</v>
      </c>
      <c r="Z17" s="1" cm="1">
        <f t="array" aca="1" ref="Z17" ca="1">INDIRECT("RawData!"&amp;ADDRESS($C$5+$A17,Z$6))</f>
        <v>6.2509999999999996E-2</v>
      </c>
      <c r="AA17" s="1" cm="1">
        <f t="array" aca="1" ref="AA17" ca="1">INDIRECT("RawData!"&amp;ADDRESS($C$5+$A17,AA$6))</f>
        <v>9.8799999999999999E-3</v>
      </c>
    </row>
    <row r="18" spans="1:27" x14ac:dyDescent="0.3">
      <c r="A18" s="1">
        <v>7</v>
      </c>
      <c r="C18" s="1" t="str" cm="1">
        <f t="array" aca="1" ref="C18" ca="1">INDIRECT("RawData!A"&amp;TEXT(C$5+A18,"0"))</f>
        <v>Test5/icx_o3.x</v>
      </c>
      <c r="D18" s="1" cm="1">
        <f t="array" aca="1" ref="D18" ca="1">INDIRECT("RawData!"&amp;ADDRESS($C$5+$A18,D$6))</f>
        <v>4.7110000000000003</v>
      </c>
      <c r="E18" s="1" cm="1">
        <f t="array" aca="1" ref="E18" ca="1">INDIRECT("RawData!"&amp;ADDRESS($C$5+$A18,E$6))</f>
        <v>0.52749999999999997</v>
      </c>
      <c r="F18" s="1" cm="1">
        <f t="array" aca="1" ref="F18" ca="1">INDIRECT("RawData!"&amp;ADDRESS($C$5+$A18,F$6))</f>
        <v>8.3409999999999998E-2</v>
      </c>
      <c r="G18" s="1" cm="1">
        <f t="array" aca="1" ref="G18" ca="1">INDIRECT("RawData!"&amp;ADDRESS($C$5+$A18,G$6))</f>
        <v>4.1829999999999998</v>
      </c>
      <c r="H18" s="1" cm="1">
        <f t="array" aca="1" ref="H18" ca="1">INDIRECT("RawData!"&amp;ADDRESS($C$5+$A18,H$6))</f>
        <v>0.30476999999999999</v>
      </c>
      <c r="I18" s="1" cm="1">
        <f t="array" aca="1" ref="I18" ca="1">INDIRECT("RawData!"&amp;ADDRESS($C$5+$A18,I$6))</f>
        <v>4.8189999999999997E-2</v>
      </c>
      <c r="J18" s="1" cm="1">
        <f t="array" aca="1" ref="J18" ca="1">INDIRECT("RawData!"&amp;ADDRESS($C$5+$A18,J$6))</f>
        <v>1.907</v>
      </c>
      <c r="K18" s="1" cm="1">
        <f t="array" aca="1" ref="K18" ca="1">INDIRECT("RawData!"&amp;ADDRESS($C$5+$A18,K$6))</f>
        <v>0.13664999999999999</v>
      </c>
      <c r="L18" s="1" cm="1">
        <f t="array" aca="1" ref="L18" ca="1">INDIRECT("RawData!"&amp;ADDRESS($C$5+$A18,L$6))</f>
        <v>2.1610000000000001E-2</v>
      </c>
      <c r="M18" s="1" cm="1">
        <f t="array" aca="1" ref="M18" ca="1">INDIRECT("RawData!"&amp;ADDRESS($C$5+$A18,M$6))</f>
        <v>1.903</v>
      </c>
      <c r="N18" s="1" cm="1">
        <f t="array" aca="1" ref="N18" ca="1">INDIRECT("RawData!"&amp;ADDRESS($C$5+$A18,N$6))</f>
        <v>0.13192999999999999</v>
      </c>
      <c r="O18" s="1" cm="1">
        <f t="array" aca="1" ref="O18" ca="1">INDIRECT("RawData!"&amp;ADDRESS($C$5+$A18,O$6))</f>
        <v>2.086E-2</v>
      </c>
      <c r="P18" s="1" cm="1">
        <f t="array" aca="1" ref="P18" ca="1">INDIRECT("RawData!"&amp;ADDRESS($C$5+$A18,P$6))</f>
        <v>0</v>
      </c>
      <c r="Q18" s="1" cm="1">
        <f t="array" aca="1" ref="Q18" ca="1">INDIRECT("RawData!"&amp;ADDRESS($C$5+$A18,Q$6))</f>
        <v>0</v>
      </c>
      <c r="R18" s="1" cm="1">
        <f t="array" aca="1" ref="R18" ca="1">INDIRECT("RawData!"&amp;ADDRESS($C$5+$A18,R$6))</f>
        <v>0</v>
      </c>
      <c r="S18" s="1" cm="1">
        <f t="array" aca="1" ref="S18" ca="1">INDIRECT("RawData!"&amp;ADDRESS($C$5+$A18,S$6))</f>
        <v>0</v>
      </c>
      <c r="T18" s="1" cm="1">
        <f t="array" aca="1" ref="T18" ca="1">INDIRECT("RawData!"&amp;ADDRESS($C$5+$A18,T$6))</f>
        <v>0</v>
      </c>
      <c r="U18" s="1" cm="1">
        <f t="array" aca="1" ref="U18" ca="1">INDIRECT("RawData!"&amp;ADDRESS($C$5+$A18,U$6))</f>
        <v>0</v>
      </c>
      <c r="V18" s="1" cm="1">
        <f t="array" aca="1" ref="V18" ca="1">INDIRECT("RawData!"&amp;ADDRESS($C$5+$A18,V$6))</f>
        <v>5.4710000000000001</v>
      </c>
      <c r="W18" s="1" cm="1">
        <f t="array" aca="1" ref="W18" ca="1">INDIRECT("RawData!"&amp;ADDRESS($C$5+$A18,W$6))</f>
        <v>0.25074000000000002</v>
      </c>
      <c r="X18" s="1" cm="1">
        <f t="array" aca="1" ref="X18" ca="1">INDIRECT("RawData!"&amp;ADDRESS($C$5+$A18,X$6))</f>
        <v>3.9640000000000002E-2</v>
      </c>
      <c r="Y18" s="1" cm="1">
        <f t="array" aca="1" ref="Y18" ca="1">INDIRECT("RawData!"&amp;ADDRESS($C$5+$A18,Y$6))</f>
        <v>4.6379999999999999</v>
      </c>
      <c r="Z18" s="1" cm="1">
        <f t="array" aca="1" ref="Z18" ca="1">INDIRECT("RawData!"&amp;ADDRESS($C$5+$A18,Z$6))</f>
        <v>5.7750000000000003E-2</v>
      </c>
      <c r="AA18" s="1" cm="1">
        <f t="array" aca="1" ref="AA18" ca="1">INDIRECT("RawData!"&amp;ADDRESS($C$5+$A18,AA$6))</f>
        <v>9.1299999999999992E-3</v>
      </c>
    </row>
    <row r="19" spans="1:27" x14ac:dyDescent="0.3">
      <c r="A19" s="1">
        <v>8</v>
      </c>
    </row>
    <row r="20" spans="1:27" x14ac:dyDescent="0.3">
      <c r="A20" s="1">
        <v>9</v>
      </c>
    </row>
    <row r="21" spans="1:27" x14ac:dyDescent="0.3">
      <c r="A21" s="1">
        <v>10</v>
      </c>
    </row>
    <row r="22" spans="1:27" x14ac:dyDescent="0.3">
      <c r="A22" s="1">
        <v>11</v>
      </c>
    </row>
    <row r="23" spans="1:27" x14ac:dyDescent="0.3">
      <c r="A23" s="1">
        <v>12</v>
      </c>
    </row>
    <row r="24" spans="1:27" x14ac:dyDescent="0.3">
      <c r="A24" s="1">
        <v>13</v>
      </c>
    </row>
    <row r="25" spans="1:27" x14ac:dyDescent="0.3">
      <c r="A25" s="1">
        <v>14</v>
      </c>
    </row>
    <row r="26" spans="1:27" x14ac:dyDescent="0.3">
      <c r="A26" s="1">
        <v>15</v>
      </c>
    </row>
    <row r="27" spans="1:27" x14ac:dyDescent="0.3">
      <c r="A27" s="1">
        <v>16</v>
      </c>
    </row>
    <row r="28" spans="1:27" x14ac:dyDescent="0.3">
      <c r="A28" s="1">
        <v>17</v>
      </c>
    </row>
    <row r="29" spans="1:27" x14ac:dyDescent="0.3">
      <c r="A29" s="1">
        <v>18</v>
      </c>
    </row>
    <row r="30" spans="1:27" x14ac:dyDescent="0.3">
      <c r="A30" s="1">
        <v>19</v>
      </c>
    </row>
    <row r="31" spans="1:27" x14ac:dyDescent="0.3">
      <c r="A31" s="1">
        <v>20</v>
      </c>
    </row>
    <row r="32" spans="1:27" x14ac:dyDescent="0.3">
      <c r="A32" s="1">
        <v>21</v>
      </c>
    </row>
    <row r="33" spans="1:27" x14ac:dyDescent="0.3">
      <c r="A33" s="1">
        <v>22</v>
      </c>
    </row>
    <row r="34" spans="1:27" x14ac:dyDescent="0.3">
      <c r="A34" s="1">
        <v>23</v>
      </c>
    </row>
    <row r="35" spans="1:27" x14ac:dyDescent="0.3">
      <c r="A35" s="1">
        <v>24</v>
      </c>
    </row>
    <row r="36" spans="1:27" x14ac:dyDescent="0.3">
      <c r="A36" s="1">
        <v>1</v>
      </c>
      <c r="B36" s="1">
        <v>2</v>
      </c>
      <c r="C36" s="1">
        <v>3</v>
      </c>
      <c r="D36" s="1">
        <v>4</v>
      </c>
      <c r="E36" s="1">
        <v>5</v>
      </c>
      <c r="F36" s="1">
        <v>6</v>
      </c>
      <c r="G36" s="1">
        <v>7</v>
      </c>
      <c r="H36" s="1">
        <v>8</v>
      </c>
      <c r="I36" s="1">
        <v>9</v>
      </c>
      <c r="J36" s="1">
        <v>10</v>
      </c>
      <c r="K36" s="1">
        <v>11</v>
      </c>
      <c r="L36" s="1">
        <v>12</v>
      </c>
      <c r="M36" s="1">
        <v>13</v>
      </c>
      <c r="N36" s="1">
        <v>14</v>
      </c>
      <c r="O36" s="1">
        <v>15</v>
      </c>
      <c r="P36" s="1">
        <v>16</v>
      </c>
      <c r="Q36" s="1">
        <v>17</v>
      </c>
      <c r="R36" s="1">
        <v>18</v>
      </c>
      <c r="S36" s="1">
        <v>19</v>
      </c>
      <c r="T36" s="1">
        <v>20</v>
      </c>
      <c r="U36" s="1">
        <v>21</v>
      </c>
      <c r="V36" s="1">
        <v>22</v>
      </c>
      <c r="W36" s="1">
        <v>23</v>
      </c>
      <c r="X36" s="1">
        <v>24</v>
      </c>
      <c r="Y36" s="1">
        <v>25</v>
      </c>
      <c r="Z36" s="1">
        <v>26</v>
      </c>
      <c r="AA36" s="1">
        <v>27</v>
      </c>
    </row>
    <row r="37" spans="1:27" ht="100" x14ac:dyDescent="0.3">
      <c r="C37" s="4" t="s">
        <v>140</v>
      </c>
      <c r="D37" s="3" t="s">
        <v>137</v>
      </c>
      <c r="G37" s="3" t="s">
        <v>143</v>
      </c>
      <c r="J37" s="3" t="s">
        <v>138</v>
      </c>
      <c r="M37" s="3" t="s">
        <v>144</v>
      </c>
      <c r="P37" s="3" t="s">
        <v>139</v>
      </c>
      <c r="S37" s="3" t="s">
        <v>145</v>
      </c>
      <c r="V37" s="3" t="s">
        <v>147</v>
      </c>
      <c r="Y37" s="3" t="s">
        <v>146</v>
      </c>
    </row>
    <row r="38" spans="1:27" x14ac:dyDescent="0.3">
      <c r="A38" s="1">
        <v>0</v>
      </c>
      <c r="C38" s="1" t="str">
        <f ca="1">MID(C11,FIND("/",C11)+1,1000)</f>
        <v>gfortran.x</v>
      </c>
      <c r="D38" s="1">
        <f ca="1">D11</f>
        <v>6.976</v>
      </c>
      <c r="E38" s="1">
        <f ca="1">IF(D11=0,0,E11*100/D11)</f>
        <v>1.3863245412844039</v>
      </c>
      <c r="F38" s="1">
        <f ca="1">IF(D11=0,0,F11*100/D11)</f>
        <v>0.21918004587155962</v>
      </c>
      <c r="G38" s="1">
        <f t="shared" ref="G38:AA45" ca="1" si="0">G11</f>
        <v>6.9969999999999999</v>
      </c>
      <c r="H38" s="1">
        <f t="shared" ref="H38:AA45" ca="1" si="1">IF(G11=0,0,H11*100/G11)</f>
        <v>2.3331427754752037</v>
      </c>
      <c r="I38" s="1">
        <f t="shared" ref="I38:I45" ca="1" si="2">IF(G11=0,0,I11*100/G11)</f>
        <v>0.36887237387451766</v>
      </c>
      <c r="J38" s="1">
        <f t="shared" ref="J38:AA38" ca="1" si="3">J11</f>
        <v>5.4359999999999999</v>
      </c>
      <c r="K38" s="1">
        <f t="shared" ref="K38:AA38" ca="1" si="4">IF(J11=0,0,K11*100/J11)</f>
        <v>0.72001471670345851</v>
      </c>
      <c r="L38" s="1">
        <f t="shared" ref="L38:L45" ca="1" si="5">IF(J11=0,0,L11*100/J11)</f>
        <v>0.11387049300956585</v>
      </c>
      <c r="M38" s="1">
        <f t="shared" ref="M38:AA38" ca="1" si="6">M11</f>
        <v>5.4320000000000004</v>
      </c>
      <c r="N38" s="1">
        <f t="shared" ref="N38:AA38" ca="1" si="7">IF(M11=0,0,N11*100/M11)</f>
        <v>0.54970544918998532</v>
      </c>
      <c r="O38" s="1">
        <f t="shared" ref="O38:O45" ca="1" si="8">IF(M11=0,0,O11*100/M11)</f>
        <v>8.6892488954344621E-2</v>
      </c>
      <c r="P38" s="1">
        <f t="shared" ref="P38:AA38" ca="1" si="9">P11</f>
        <v>12.194000000000001</v>
      </c>
      <c r="Q38" s="1">
        <f t="shared" ref="Q38:AA38" ca="1" si="10">IF(P11=0,0,Q11*100/P11)</f>
        <v>7.6378546826308016</v>
      </c>
      <c r="R38" s="1">
        <f t="shared" ref="R38:R45" ca="1" si="11">IF(P11=0,0,R11*100/P11)</f>
        <v>1.2076431031654913</v>
      </c>
      <c r="S38" s="1">
        <f t="shared" ref="S38:AA38" ca="1" si="12">S11</f>
        <v>11.163</v>
      </c>
      <c r="T38" s="1">
        <f t="shared" ref="T38:AA38" ca="1" si="13">IF(S11=0,0,T11*100/S11)</f>
        <v>6.392546806414046</v>
      </c>
      <c r="U38" s="1">
        <f t="shared" ref="U38:U45" ca="1" si="14">IF(S11=0,0,U11*100/S11)</f>
        <v>1.0107497984412792</v>
      </c>
      <c r="V38" s="1">
        <f t="shared" ref="V38:AA38" ca="1" si="15">V11</f>
        <v>6.6139999999999999</v>
      </c>
      <c r="W38" s="1">
        <f t="shared" ref="W38:AA38" ca="1" si="16">IF(V11=0,0,W11*100/V11)</f>
        <v>1.4561536135470214</v>
      </c>
      <c r="X38" s="1">
        <f t="shared" ref="X38:X45" ca="1" si="17">IF(V11=0,0,X11*100/V11)</f>
        <v>0.23026912609615968</v>
      </c>
      <c r="Y38" s="1">
        <f t="shared" ref="Y38:AA38" ca="1" si="18">Y11</f>
        <v>6.5739999999999998</v>
      </c>
      <c r="Z38" s="1">
        <f t="shared" ref="Z38:AA38" ca="1" si="19">IF(Y11=0,0,Z11*100/Y11)</f>
        <v>0.76574383936720425</v>
      </c>
      <c r="AA38" s="1">
        <f t="shared" ref="AA38:AA45" ca="1" si="20">IF(Y11=0,0,AA11*100/Y11)</f>
        <v>0.12108305445695164</v>
      </c>
    </row>
    <row r="39" spans="1:27" x14ac:dyDescent="0.3">
      <c r="A39" s="1">
        <v>1</v>
      </c>
      <c r="C39" s="1" t="str">
        <f t="shared" ref="C39:C45" ca="1" si="21">MID(C12,FIND("/",C12)+1,1000)</f>
        <v>gfortran_o3.x</v>
      </c>
      <c r="D39" s="1">
        <f t="shared" ref="D39:D45" ca="1" si="22">D12</f>
        <v>7.0049999999999999</v>
      </c>
      <c r="E39" s="1">
        <f t="shared" ref="E39:E45" ca="1" si="23">IF(D12=0,0,E12*100/D12)</f>
        <v>2.1526052819414705</v>
      </c>
      <c r="F39" s="1">
        <f t="shared" ref="F39:F45" ca="1" si="24">IF(D12=0,0,F12*100/D12)</f>
        <v>0.3403283369022127</v>
      </c>
      <c r="G39" s="1">
        <f t="shared" ca="1" si="0"/>
        <v>6.9429999999999996</v>
      </c>
      <c r="H39" s="1">
        <f t="shared" ca="1" si="1"/>
        <v>2.9082529166066542</v>
      </c>
      <c r="I39" s="1">
        <f t="shared" ca="1" si="2"/>
        <v>0.45988765663257963</v>
      </c>
      <c r="J39" s="1">
        <f t="shared" ca="1" si="0"/>
        <v>5.4240000000000004</v>
      </c>
      <c r="K39" s="1">
        <f t="shared" ca="1" si="1"/>
        <v>0.52267699115044242</v>
      </c>
      <c r="L39" s="1">
        <f t="shared" ca="1" si="5"/>
        <v>8.259587020648966E-2</v>
      </c>
      <c r="M39" s="1">
        <f t="shared" ca="1" si="0"/>
        <v>5.4240000000000004</v>
      </c>
      <c r="N39" s="1">
        <f t="shared" ca="1" si="1"/>
        <v>0.54609144542772858</v>
      </c>
      <c r="O39" s="1">
        <f t="shared" ca="1" si="8"/>
        <v>8.628318584070796E-2</v>
      </c>
      <c r="P39" s="1">
        <f t="shared" ca="1" si="0"/>
        <v>12.319000000000001</v>
      </c>
      <c r="Q39" s="1">
        <f t="shared" ca="1" si="1"/>
        <v>6.338501501745271</v>
      </c>
      <c r="R39" s="1">
        <f t="shared" ca="1" si="11"/>
        <v>1.0021917363422355</v>
      </c>
      <c r="S39" s="1">
        <f t="shared" ca="1" si="0"/>
        <v>11.407999999999999</v>
      </c>
      <c r="T39" s="1">
        <f t="shared" ca="1" si="1"/>
        <v>6.9770336605890604</v>
      </c>
      <c r="U39" s="1">
        <f t="shared" ca="1" si="14"/>
        <v>1.1031732117812061</v>
      </c>
      <c r="V39" s="1">
        <f t="shared" ca="1" si="0"/>
        <v>6.5129999999999999</v>
      </c>
      <c r="W39" s="1">
        <f t="shared" ca="1" si="1"/>
        <v>0.83816981421771841</v>
      </c>
      <c r="X39" s="1">
        <f t="shared" ca="1" si="17"/>
        <v>0.13250422232458162</v>
      </c>
      <c r="Y39" s="1">
        <f t="shared" ca="1" si="0"/>
        <v>6.5389999999999997</v>
      </c>
      <c r="Z39" s="1">
        <f t="shared" ca="1" si="1"/>
        <v>0.62868940204924295</v>
      </c>
      <c r="AA39" s="1">
        <f t="shared" ca="1" si="20"/>
        <v>9.9403578528827044E-2</v>
      </c>
    </row>
    <row r="40" spans="1:27" x14ac:dyDescent="0.3">
      <c r="A40" s="1">
        <v>2</v>
      </c>
      <c r="C40" s="1" t="str">
        <f t="shared" ca="1" si="21"/>
        <v>ifx.x</v>
      </c>
      <c r="D40" s="1">
        <f t="shared" ca="1" si="22"/>
        <v>6.85</v>
      </c>
      <c r="E40" s="1">
        <f t="shared" ca="1" si="23"/>
        <v>9.6665693430656923</v>
      </c>
      <c r="F40" s="1">
        <f t="shared" ca="1" si="24"/>
        <v>1.5284671532846716</v>
      </c>
      <c r="G40" s="1">
        <f t="shared" ca="1" si="0"/>
        <v>3.85</v>
      </c>
      <c r="H40" s="1">
        <f t="shared" ca="1" si="1"/>
        <v>27.305194805194805</v>
      </c>
      <c r="I40" s="1">
        <f t="shared" ca="1" si="2"/>
        <v>4.3174025974025971</v>
      </c>
      <c r="J40" s="1">
        <f t="shared" ca="1" si="0"/>
        <v>5.4080000000000004</v>
      </c>
      <c r="K40" s="1">
        <f t="shared" ca="1" si="1"/>
        <v>0.63295118343195256</v>
      </c>
      <c r="L40" s="1">
        <f t="shared" ca="1" si="5"/>
        <v>0.10003698224852071</v>
      </c>
      <c r="M40" s="1">
        <f t="shared" ca="1" si="0"/>
        <v>2.0030000000000001</v>
      </c>
      <c r="N40" s="1">
        <f t="shared" ca="1" si="1"/>
        <v>3.5287069395906143</v>
      </c>
      <c r="O40" s="1">
        <f t="shared" ca="1" si="8"/>
        <v>0.55816275586620068</v>
      </c>
      <c r="P40" s="1">
        <f t="shared" ca="1" si="0"/>
        <v>0</v>
      </c>
      <c r="Q40" s="1">
        <f t="shared" ca="1" si="1"/>
        <v>0</v>
      </c>
      <c r="R40" s="1">
        <f t="shared" ca="1" si="11"/>
        <v>0</v>
      </c>
      <c r="S40" s="1">
        <f t="shared" ca="1" si="0"/>
        <v>0</v>
      </c>
      <c r="T40" s="1">
        <f t="shared" ca="1" si="1"/>
        <v>0</v>
      </c>
      <c r="U40" s="1">
        <f t="shared" ca="1" si="14"/>
        <v>0</v>
      </c>
      <c r="V40" s="1">
        <f t="shared" ca="1" si="0"/>
        <v>6.5730000000000004</v>
      </c>
      <c r="W40" s="1">
        <f t="shared" ca="1" si="1"/>
        <v>1.6973984481971702</v>
      </c>
      <c r="X40" s="1">
        <f t="shared" ca="1" si="17"/>
        <v>0.26837060702875398</v>
      </c>
      <c r="Y40" s="1">
        <f t="shared" ca="1" si="0"/>
        <v>4.6020000000000003</v>
      </c>
      <c r="Z40" s="1">
        <f t="shared" ca="1" si="1"/>
        <v>1.1240764884832681</v>
      </c>
      <c r="AA40" s="1">
        <f t="shared" ca="1" si="20"/>
        <v>0.1777488048674489</v>
      </c>
    </row>
    <row r="41" spans="1:27" x14ac:dyDescent="0.3">
      <c r="A41" s="1">
        <v>3</v>
      </c>
      <c r="C41" s="1" t="str">
        <f t="shared" ca="1" si="21"/>
        <v>ifx_o3.x</v>
      </c>
      <c r="D41" s="1">
        <f t="shared" ca="1" si="22"/>
        <v>7</v>
      </c>
      <c r="E41" s="1">
        <f t="shared" ca="1" si="23"/>
        <v>16.175428571428572</v>
      </c>
      <c r="F41" s="1">
        <f t="shared" ca="1" si="24"/>
        <v>2.5575714285714284</v>
      </c>
      <c r="G41" s="1">
        <f t="shared" ca="1" si="0"/>
        <v>3.9</v>
      </c>
      <c r="H41" s="1">
        <f t="shared" ca="1" si="1"/>
        <v>22.338205128205129</v>
      </c>
      <c r="I41" s="1">
        <f t="shared" ca="1" si="2"/>
        <v>3.5320512820512824</v>
      </c>
      <c r="J41" s="1">
        <f t="shared" ca="1" si="0"/>
        <v>5.4089999999999998</v>
      </c>
      <c r="K41" s="1">
        <f t="shared" ca="1" si="1"/>
        <v>0.48382325753374006</v>
      </c>
      <c r="L41" s="1">
        <f t="shared" ca="1" si="5"/>
        <v>7.6539101497504161E-2</v>
      </c>
      <c r="M41" s="1">
        <f t="shared" ca="1" si="0"/>
        <v>1.9870000000000001</v>
      </c>
      <c r="N41" s="1">
        <f t="shared" ca="1" si="1"/>
        <v>5.5022647206844484</v>
      </c>
      <c r="O41" s="1">
        <f t="shared" ca="1" si="8"/>
        <v>0.87015601409159538</v>
      </c>
      <c r="P41" s="1">
        <f t="shared" ca="1" si="0"/>
        <v>0</v>
      </c>
      <c r="Q41" s="1">
        <f t="shared" ca="1" si="1"/>
        <v>0</v>
      </c>
      <c r="R41" s="1">
        <f t="shared" ca="1" si="11"/>
        <v>0</v>
      </c>
      <c r="S41" s="1">
        <f t="shared" ca="1" si="0"/>
        <v>0</v>
      </c>
      <c r="T41" s="1">
        <f t="shared" ca="1" si="1"/>
        <v>0</v>
      </c>
      <c r="U41" s="1">
        <f t="shared" ca="1" si="14"/>
        <v>0</v>
      </c>
      <c r="V41" s="1">
        <f t="shared" ca="1" si="0"/>
        <v>6.625</v>
      </c>
      <c r="W41" s="1">
        <f t="shared" ca="1" si="1"/>
        <v>2.5763018867924532</v>
      </c>
      <c r="X41" s="1">
        <f t="shared" ca="1" si="17"/>
        <v>0.40739622641509432</v>
      </c>
      <c r="Y41" s="1">
        <f t="shared" ca="1" si="0"/>
        <v>4.601</v>
      </c>
      <c r="Z41" s="1">
        <f t="shared" ca="1" si="1"/>
        <v>1.161051945229298</v>
      </c>
      <c r="AA41" s="1">
        <f t="shared" ca="1" si="20"/>
        <v>0.1836557270158661</v>
      </c>
    </row>
    <row r="42" spans="1:27" x14ac:dyDescent="0.3">
      <c r="A42" s="1">
        <v>4</v>
      </c>
      <c r="C42" s="1" t="str">
        <f t="shared" ca="1" si="21"/>
        <v>gpp.x</v>
      </c>
      <c r="D42" s="1">
        <f t="shared" ca="1" si="22"/>
        <v>7.1040000000000001</v>
      </c>
      <c r="E42" s="1">
        <f t="shared" ca="1" si="23"/>
        <v>3.4442567567567566</v>
      </c>
      <c r="F42" s="1">
        <f t="shared" ca="1" si="24"/>
        <v>0.54462274774774777</v>
      </c>
      <c r="G42" s="1">
        <f t="shared" ca="1" si="0"/>
        <v>7.2480000000000002</v>
      </c>
      <c r="H42" s="1">
        <f t="shared" ca="1" si="1"/>
        <v>3.2057119205298013</v>
      </c>
      <c r="I42" s="1">
        <f t="shared" ca="1" si="2"/>
        <v>0.50689845474613693</v>
      </c>
      <c r="J42" s="1">
        <f t="shared" ca="1" si="0"/>
        <v>32.521999999999998</v>
      </c>
      <c r="K42" s="1">
        <f t="shared" ca="1" si="1"/>
        <v>0.49984625791771725</v>
      </c>
      <c r="L42" s="1">
        <f t="shared" ca="1" si="5"/>
        <v>7.90234302933399E-2</v>
      </c>
      <c r="M42" s="1">
        <f t="shared" ca="1" si="0"/>
        <v>26.975999999999999</v>
      </c>
      <c r="N42" s="1">
        <f t="shared" ca="1" si="1"/>
        <v>0.35742882562277584</v>
      </c>
      <c r="O42" s="1">
        <f t="shared" ca="1" si="8"/>
        <v>5.6531731909845791E-2</v>
      </c>
      <c r="P42" s="1">
        <f t="shared" ca="1" si="0"/>
        <v>12.673999999999999</v>
      </c>
      <c r="Q42" s="1">
        <f t="shared" ca="1" si="1"/>
        <v>6.4106832886223772</v>
      </c>
      <c r="R42" s="1">
        <f t="shared" ca="1" si="11"/>
        <v>1.0136499921098312</v>
      </c>
      <c r="S42" s="1">
        <f t="shared" ca="1" si="0"/>
        <v>11.153</v>
      </c>
      <c r="T42" s="1">
        <f t="shared" ca="1" si="1"/>
        <v>6.9292567022325828</v>
      </c>
      <c r="U42" s="1">
        <f t="shared" ca="1" si="14"/>
        <v>1.0955796646642157</v>
      </c>
      <c r="V42" s="1">
        <f t="shared" ca="1" si="0"/>
        <v>18.952999999999999</v>
      </c>
      <c r="W42" s="1">
        <f t="shared" ca="1" si="1"/>
        <v>1.5116868041998628</v>
      </c>
      <c r="X42" s="1">
        <f t="shared" ca="1" si="17"/>
        <v>0.23901229356830056</v>
      </c>
      <c r="Y42" s="1">
        <f t="shared" ca="1" si="0"/>
        <v>18.722000000000001</v>
      </c>
      <c r="Z42" s="1">
        <f t="shared" ca="1" si="1"/>
        <v>0.21872663177011001</v>
      </c>
      <c r="AA42" s="1">
        <f t="shared" ca="1" si="20"/>
        <v>3.4558273688708473E-2</v>
      </c>
    </row>
    <row r="43" spans="1:27" x14ac:dyDescent="0.3">
      <c r="A43" s="1">
        <v>5</v>
      </c>
      <c r="C43" s="1" t="str">
        <f t="shared" ca="1" si="21"/>
        <v>gpp_o3.x</v>
      </c>
      <c r="D43" s="1">
        <f t="shared" ca="1" si="22"/>
        <v>7.0810000000000004</v>
      </c>
      <c r="E43" s="1">
        <f t="shared" ca="1" si="23"/>
        <v>3.1899449230334698</v>
      </c>
      <c r="F43" s="1">
        <f t="shared" ca="1" si="24"/>
        <v>0.50430730122863998</v>
      </c>
      <c r="G43" s="1">
        <f t="shared" ca="1" si="0"/>
        <v>7.0389999999999997</v>
      </c>
      <c r="H43" s="1">
        <f t="shared" ca="1" si="1"/>
        <v>3.2774541838329312</v>
      </c>
      <c r="I43" s="1">
        <f t="shared" ca="1" si="2"/>
        <v>0.51825543401051288</v>
      </c>
      <c r="J43" s="1">
        <f t="shared" ca="1" si="0"/>
        <v>18.863</v>
      </c>
      <c r="K43" s="1">
        <f t="shared" ca="1" si="1"/>
        <v>0.26602343211578228</v>
      </c>
      <c r="L43" s="1">
        <f t="shared" ca="1" si="5"/>
        <v>4.203997243280496E-2</v>
      </c>
      <c r="M43" s="1">
        <f t="shared" ca="1" si="0"/>
        <v>8.0909999999999993</v>
      </c>
      <c r="N43" s="1">
        <f t="shared" ca="1" si="1"/>
        <v>0.36633296255098258</v>
      </c>
      <c r="O43" s="1">
        <f t="shared" ca="1" si="8"/>
        <v>5.7965640835496234E-2</v>
      </c>
      <c r="P43" s="1">
        <f t="shared" ca="1" si="0"/>
        <v>12.795</v>
      </c>
      <c r="Q43" s="1">
        <f t="shared" ca="1" si="1"/>
        <v>5.7087143415396646</v>
      </c>
      <c r="R43" s="1">
        <f t="shared" ca="1" si="11"/>
        <v>0.9026182102383743</v>
      </c>
      <c r="S43" s="1">
        <f t="shared" ca="1" si="0"/>
        <v>11.103999999999999</v>
      </c>
      <c r="T43" s="1">
        <f t="shared" ca="1" si="1"/>
        <v>6.4380403458213262</v>
      </c>
      <c r="U43" s="1">
        <f t="shared" ca="1" si="14"/>
        <v>1.0179214697406342</v>
      </c>
      <c r="V43" s="1">
        <f t="shared" ca="1" si="0"/>
        <v>12.614000000000001</v>
      </c>
      <c r="W43" s="1">
        <f t="shared" ca="1" si="1"/>
        <v>1.7296654510860949</v>
      </c>
      <c r="X43" s="1">
        <f t="shared" ca="1" si="17"/>
        <v>0.27350562866656097</v>
      </c>
      <c r="Y43" s="1">
        <f t="shared" ca="1" si="0"/>
        <v>9.6059999999999999</v>
      </c>
      <c r="Z43" s="1">
        <f t="shared" ca="1" si="1"/>
        <v>0.65750572558817399</v>
      </c>
      <c r="AA43" s="1">
        <f t="shared" ca="1" si="20"/>
        <v>0.10399750156152406</v>
      </c>
    </row>
    <row r="44" spans="1:27" x14ac:dyDescent="0.3">
      <c r="A44" s="1">
        <v>6</v>
      </c>
      <c r="C44" s="1" t="str">
        <f t="shared" ca="1" si="21"/>
        <v>icx.x</v>
      </c>
      <c r="D44" s="1">
        <f t="shared" ca="1" si="22"/>
        <v>4.8540000000000001</v>
      </c>
      <c r="E44" s="1">
        <f t="shared" ca="1" si="23"/>
        <v>13.120931190770497</v>
      </c>
      <c r="F44" s="1">
        <f t="shared" ca="1" si="24"/>
        <v>2.0745776679027608</v>
      </c>
      <c r="G44" s="1">
        <f t="shared" ca="1" si="0"/>
        <v>4.1669999999999998</v>
      </c>
      <c r="H44" s="1">
        <f t="shared" ca="1" si="1"/>
        <v>8.2505399568034559</v>
      </c>
      <c r="I44" s="1">
        <f t="shared" ca="1" si="2"/>
        <v>1.3045356371490282</v>
      </c>
      <c r="J44" s="1">
        <f t="shared" ca="1" si="0"/>
        <v>1.925</v>
      </c>
      <c r="K44" s="1">
        <f t="shared" ca="1" si="1"/>
        <v>7.3859740259740256</v>
      </c>
      <c r="L44" s="1">
        <f t="shared" ca="1" si="5"/>
        <v>1.1677922077922078</v>
      </c>
      <c r="M44" s="1">
        <f t="shared" ca="1" si="0"/>
        <v>1.8620000000000001</v>
      </c>
      <c r="N44" s="1">
        <f t="shared" ca="1" si="1"/>
        <v>7.1208378088077344</v>
      </c>
      <c r="O44" s="1">
        <f t="shared" ca="1" si="8"/>
        <v>1.1256713211600429</v>
      </c>
      <c r="P44" s="1">
        <f t="shared" ca="1" si="0"/>
        <v>0</v>
      </c>
      <c r="Q44" s="1">
        <f t="shared" ca="1" si="1"/>
        <v>0</v>
      </c>
      <c r="R44" s="1">
        <f t="shared" ca="1" si="11"/>
        <v>0</v>
      </c>
      <c r="S44" s="1">
        <f t="shared" ca="1" si="0"/>
        <v>0</v>
      </c>
      <c r="T44" s="1">
        <f t="shared" ca="1" si="1"/>
        <v>0</v>
      </c>
      <c r="U44" s="1">
        <f t="shared" ca="1" si="14"/>
        <v>0</v>
      </c>
      <c r="V44" s="1">
        <f t="shared" ca="1" si="0"/>
        <v>5.4859999999999998</v>
      </c>
      <c r="W44" s="1">
        <f t="shared" ca="1" si="1"/>
        <v>4.9855997083485235</v>
      </c>
      <c r="X44" s="1">
        <f t="shared" ca="1" si="17"/>
        <v>0.78837039737513659</v>
      </c>
      <c r="Y44" s="1">
        <f t="shared" ca="1" si="0"/>
        <v>4.6360000000000001</v>
      </c>
      <c r="Z44" s="1">
        <f t="shared" ca="1" si="1"/>
        <v>1.3483606557377048</v>
      </c>
      <c r="AA44" s="1">
        <f t="shared" ca="1" si="20"/>
        <v>0.21311475409836064</v>
      </c>
    </row>
    <row r="45" spans="1:27" x14ac:dyDescent="0.3">
      <c r="A45" s="1">
        <v>7</v>
      </c>
      <c r="C45" s="1" t="str">
        <f t="shared" ca="1" si="21"/>
        <v>icx_o3.x</v>
      </c>
      <c r="D45" s="1">
        <f t="shared" ca="1" si="22"/>
        <v>4.7110000000000003</v>
      </c>
      <c r="E45" s="1">
        <f t="shared" ca="1" si="23"/>
        <v>11.197198047123752</v>
      </c>
      <c r="F45" s="1">
        <f t="shared" ca="1" si="24"/>
        <v>1.7705370409679471</v>
      </c>
      <c r="G45" s="1">
        <f t="shared" ca="1" si="0"/>
        <v>4.1829999999999998</v>
      </c>
      <c r="H45" s="1">
        <f t="shared" ca="1" si="1"/>
        <v>7.2859191967487442</v>
      </c>
      <c r="I45" s="1">
        <f t="shared" ca="1" si="2"/>
        <v>1.1520439875687307</v>
      </c>
      <c r="J45" s="1">
        <f t="shared" ca="1" si="0"/>
        <v>1.907</v>
      </c>
      <c r="K45" s="1">
        <f t="shared" ca="1" si="1"/>
        <v>7.1657052962768741</v>
      </c>
      <c r="L45" s="1">
        <f t="shared" ca="1" si="5"/>
        <v>1.1331934976402727</v>
      </c>
      <c r="M45" s="1">
        <f t="shared" ca="1" si="0"/>
        <v>1.903</v>
      </c>
      <c r="N45" s="1">
        <f t="shared" ca="1" si="1"/>
        <v>6.9327377824487648</v>
      </c>
      <c r="O45" s="1">
        <f t="shared" ca="1" si="8"/>
        <v>1.096163951655281</v>
      </c>
      <c r="P45" s="1">
        <f t="shared" ca="1" si="0"/>
        <v>0</v>
      </c>
      <c r="Q45" s="1">
        <f t="shared" ca="1" si="1"/>
        <v>0</v>
      </c>
      <c r="R45" s="1">
        <f t="shared" ca="1" si="11"/>
        <v>0</v>
      </c>
      <c r="S45" s="1">
        <f t="shared" ca="1" si="0"/>
        <v>0</v>
      </c>
      <c r="T45" s="1">
        <f t="shared" ca="1" si="1"/>
        <v>0</v>
      </c>
      <c r="U45" s="1">
        <f t="shared" ca="1" si="14"/>
        <v>0</v>
      </c>
      <c r="V45" s="1">
        <f t="shared" ca="1" si="0"/>
        <v>5.4710000000000001</v>
      </c>
      <c r="W45" s="1">
        <f t="shared" ca="1" si="1"/>
        <v>4.5830743922500456</v>
      </c>
      <c r="X45" s="1">
        <f t="shared" ca="1" si="17"/>
        <v>0.72454761469566809</v>
      </c>
      <c r="Y45" s="1">
        <f t="shared" ca="1" si="0"/>
        <v>4.6379999999999999</v>
      </c>
      <c r="Z45" s="1">
        <f t="shared" ca="1" si="1"/>
        <v>1.2451487710219924</v>
      </c>
      <c r="AA45" s="1">
        <f t="shared" ca="1" si="20"/>
        <v>0.19685209141871496</v>
      </c>
    </row>
    <row r="46" spans="1:27" x14ac:dyDescent="0.3">
      <c r="A46" s="1">
        <v>8</v>
      </c>
    </row>
    <row r="47" spans="1:27" x14ac:dyDescent="0.3">
      <c r="A47" s="1">
        <v>9</v>
      </c>
    </row>
    <row r="48" spans="1:27" x14ac:dyDescent="0.3">
      <c r="A48" s="1">
        <v>10</v>
      </c>
    </row>
    <row r="49" spans="1:20" x14ac:dyDescent="0.3">
      <c r="A49" s="1">
        <v>11</v>
      </c>
    </row>
    <row r="50" spans="1:20" x14ac:dyDescent="0.3">
      <c r="A50" s="1">
        <v>12</v>
      </c>
    </row>
    <row r="51" spans="1:20" x14ac:dyDescent="0.3">
      <c r="A51" s="1">
        <v>13</v>
      </c>
    </row>
    <row r="52" spans="1:20" x14ac:dyDescent="0.3">
      <c r="A52" s="1">
        <v>14</v>
      </c>
    </row>
    <row r="53" spans="1:20" x14ac:dyDescent="0.3">
      <c r="A53" s="1">
        <v>15</v>
      </c>
    </row>
    <row r="54" spans="1:20" x14ac:dyDescent="0.3">
      <c r="A54" s="1">
        <v>16</v>
      </c>
    </row>
    <row r="55" spans="1:20" x14ac:dyDescent="0.3">
      <c r="A55" s="1">
        <v>17</v>
      </c>
    </row>
    <row r="56" spans="1:20" x14ac:dyDescent="0.3">
      <c r="A56" s="1">
        <v>18</v>
      </c>
    </row>
    <row r="57" spans="1:20" x14ac:dyDescent="0.3">
      <c r="A57" s="1">
        <v>19</v>
      </c>
    </row>
    <row r="58" spans="1:20" x14ac:dyDescent="0.3">
      <c r="A58" s="1">
        <v>20</v>
      </c>
    </row>
    <row r="59" spans="1:20" x14ac:dyDescent="0.3">
      <c r="A59" s="1">
        <v>21</v>
      </c>
    </row>
    <row r="60" spans="1:20" x14ac:dyDescent="0.3">
      <c r="A60" s="1">
        <v>22</v>
      </c>
    </row>
    <row r="61" spans="1:20" x14ac:dyDescent="0.3">
      <c r="A61" s="1">
        <v>23</v>
      </c>
    </row>
    <row r="62" spans="1:20" x14ac:dyDescent="0.3">
      <c r="A62" s="1">
        <v>24</v>
      </c>
    </row>
    <row r="63" spans="1:20" x14ac:dyDescent="0.3">
      <c r="D63" s="1">
        <v>4</v>
      </c>
      <c r="F63" s="1">
        <v>10</v>
      </c>
      <c r="H63" s="1">
        <v>16</v>
      </c>
      <c r="J63" s="1">
        <v>22</v>
      </c>
      <c r="L63" s="1">
        <v>7</v>
      </c>
      <c r="N63" s="1">
        <f>L63+6</f>
        <v>13</v>
      </c>
      <c r="P63" s="1">
        <f>N63+6</f>
        <v>19</v>
      </c>
      <c r="R63" s="1">
        <f>P63+6</f>
        <v>25</v>
      </c>
    </row>
    <row r="64" spans="1:20" ht="25" thickBot="1" x14ac:dyDescent="0.3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50" customHeight="1" thickBot="1" x14ac:dyDescent="0.35">
      <c r="B65" s="6"/>
      <c r="C65" s="26" t="s">
        <v>140</v>
      </c>
      <c r="D65" s="27" t="str" cm="1">
        <f t="array" aca="1" ref="D65" ca="1">INDIRECT(ADDRESS(ROW(D37),D63))</f>
        <v>AMD Ryzen 7 5800X</v>
      </c>
      <c r="E65" s="28"/>
      <c r="F65" s="28" t="str" cm="1">
        <f t="array" aca="1" ref="F65" ca="1">INDIRECT(ADDRESS(ROW(E37),F63))</f>
        <v>AMD EPYC Turin</v>
      </c>
      <c r="G65" s="28"/>
      <c r="H65" s="28" t="str" cm="1">
        <f t="array" aca="1" ref="H65" ca="1">INDIRECT(ADDRESS(ROW(F37),H63))</f>
        <v>Apple ARM M1 Max</v>
      </c>
      <c r="I65" s="28"/>
      <c r="J65" s="28" t="str" cm="1">
        <f t="array" aca="1" ref="J65" ca="1">INDIRECT(ADDRESS(ROW(G37),J63))</f>
        <v xml:space="preserve">Intel Xeon Platinum </v>
      </c>
      <c r="K65" s="29"/>
      <c r="L65" s="30" t="str" cm="1">
        <f t="array" aca="1" ref="L65" ca="1">INDIRECT(ADDRESS(ROW(H37),L63))</f>
        <v>AMD Ryzen 7 5800X ASE</v>
      </c>
      <c r="M65" s="31"/>
      <c r="N65" s="31" t="str" cm="1">
        <f t="array" aca="1" ref="N65" ca="1">INDIRECT(ADDRESS(ROW(I37),N63))</f>
        <v>AMD EPYC Turin ASE</v>
      </c>
      <c r="O65" s="31"/>
      <c r="P65" s="31" t="str" cm="1">
        <f t="array" aca="1" ref="P65" ca="1">INDIRECT(ADDRESS(ROW(J37),P63))</f>
        <v>Apple ARM M1 Max ASE</v>
      </c>
      <c r="Q65" s="31"/>
      <c r="R65" s="31" t="str" cm="1">
        <f t="array" aca="1" ref="R65" ca="1">INDIRECT(ADDRESS(ROW(K37),R63))</f>
        <v>Intel Xeon Platinum ASE</v>
      </c>
      <c r="S65" s="32"/>
      <c r="T65" s="6"/>
    </row>
    <row r="66" spans="1:20" x14ac:dyDescent="0.3">
      <c r="A66" s="1">
        <v>0</v>
      </c>
      <c r="B66" s="6"/>
      <c r="C66" s="42" t="str">
        <f ca="1">SUBSTITUTE(LEFT(C38,FIND(".",C38)-1),"pp","++")</f>
        <v>gfortran</v>
      </c>
      <c r="D66" s="43" cm="1">
        <f t="array" aca="1" ref="D66" ca="1">INDIRECT(ADDRESS(ROW($D$38)+$A66,D$63))</f>
        <v>6.976</v>
      </c>
      <c r="E66" s="44" t="str" cm="1">
        <f t="array" aca="1" ref="E66" ca="1">"("&amp;TEXT(INDIRECT(ADDRESS(ROW($D$38)+$A66,D$63+2)),"0.0")&amp;"%)"</f>
        <v>(0.2%)</v>
      </c>
      <c r="F66" s="45" cm="1">
        <f t="array" aca="1" ref="F66" ca="1">INDIRECT(ADDRESS(ROW($D$38)+$A66,F$63))</f>
        <v>5.4359999999999999</v>
      </c>
      <c r="G66" s="44" t="str" cm="1">
        <f t="array" aca="1" ref="G66" ca="1">"("&amp;TEXT(INDIRECT(ADDRESS(ROW($D$38)+$A66,F$63+2)),"0.0")&amp;"%)"</f>
        <v>(0.1%)</v>
      </c>
      <c r="H66" s="45" cm="1">
        <f t="array" aca="1" ref="H66" ca="1">INDIRECT(ADDRESS(ROW($D$38)+$A66,H$63))</f>
        <v>12.194000000000001</v>
      </c>
      <c r="I66" s="44" t="str" cm="1">
        <f t="array" aca="1" ref="I66" ca="1">"("&amp;TEXT(INDIRECT(ADDRESS(ROW($D$38)+$A66,H$63+2)),"0.0")&amp;"%)"</f>
        <v>(1.2%)</v>
      </c>
      <c r="J66" s="45" cm="1">
        <f t="array" aca="1" ref="J66" ca="1">INDIRECT(ADDRESS(ROW($D$38)+$A66,J$63))</f>
        <v>6.6139999999999999</v>
      </c>
      <c r="K66" s="46" t="str" cm="1">
        <f t="array" aca="1" ref="K66" ca="1">"("&amp;TEXT(INDIRECT(ADDRESS(ROW($D$38)+$A66,J$63+2)),"0.0")&amp;"%)"</f>
        <v>(0.2%)</v>
      </c>
      <c r="L66" s="47" cm="1">
        <f t="array" aca="1" ref="L66" ca="1">INDIRECT(ADDRESS(ROW($D$38)+$A66,L$63))</f>
        <v>6.9969999999999999</v>
      </c>
      <c r="M66" s="48" t="str" cm="1">
        <f t="array" aca="1" ref="M66" ca="1">"("&amp;TEXT(INDIRECT(ADDRESS(ROW($D$38)+$A66,L$63+2)),"0.0")&amp;"%)"</f>
        <v>(0.4%)</v>
      </c>
      <c r="N66" s="49" cm="1">
        <f t="array" aca="1" ref="N66" ca="1">INDIRECT(ADDRESS(ROW($D$38)+$A66,N$63))</f>
        <v>5.4320000000000004</v>
      </c>
      <c r="O66" s="48" t="str" cm="1">
        <f t="array" aca="1" ref="O66" ca="1">"("&amp;TEXT(INDIRECT(ADDRESS(ROW($D$38)+$A66,N$63+2)),"0.0")&amp;"%)"</f>
        <v>(0.1%)</v>
      </c>
      <c r="P66" s="49" cm="1">
        <f t="array" aca="1" ref="P66" ca="1">INDIRECT(ADDRESS(ROW($D$38)+$A66,P$63))</f>
        <v>11.163</v>
      </c>
      <c r="Q66" s="48" t="str" cm="1">
        <f t="array" aca="1" ref="Q66" ca="1">"("&amp;TEXT(INDIRECT(ADDRESS(ROW($D$38)+$A66,P$63+2)),"0.0")&amp;"%)"</f>
        <v>(1.0%)</v>
      </c>
      <c r="R66" s="49" cm="1">
        <f t="array" aca="1" ref="R66" ca="1">INDIRECT(ADDRESS(ROW($D$38)+$A66,R$63))</f>
        <v>6.5739999999999998</v>
      </c>
      <c r="S66" s="50" t="str" cm="1">
        <f t="array" aca="1" ref="S66" ca="1">"("&amp;TEXT(INDIRECT(ADDRESS(ROW($D$38)+$A66,R$63+2)),"0.0")&amp;"%)"</f>
        <v>(0.1%)</v>
      </c>
      <c r="T66" s="6"/>
    </row>
    <row r="67" spans="1:20" x14ac:dyDescent="0.3">
      <c r="A67" s="1">
        <v>1</v>
      </c>
      <c r="B67" s="6"/>
      <c r="C67" s="24" t="str">
        <f t="shared" ref="C67:C73" ca="1" si="25">SUBSTITUTE(LEFT(C39,FIND(".",C39)-1),"pp","++")</f>
        <v>gfortran_o3</v>
      </c>
      <c r="D67" s="10" cm="1">
        <f t="array" aca="1" ref="D67" ca="1">INDIRECT(ADDRESS(ROW($D$38)+$A67,D$63))</f>
        <v>7.0049999999999999</v>
      </c>
      <c r="E67" s="9" t="str" cm="1">
        <f t="array" aca="1" ref="E67" ca="1">"("&amp;TEXT(INDIRECT(ADDRESS(ROW($D$38)+$A67,D$63+2)),"0.0")&amp;"%)"</f>
        <v>(0.3%)</v>
      </c>
      <c r="F67" s="8" cm="1">
        <f t="array" aca="1" ref="F67" ca="1">INDIRECT(ADDRESS(ROW($D$38)+$A67,F$63))</f>
        <v>5.4240000000000004</v>
      </c>
      <c r="G67" s="9" t="str" cm="1">
        <f t="array" aca="1" ref="G67" ca="1">"("&amp;TEXT(INDIRECT(ADDRESS(ROW($D$38)+$A67,F$63+2)),"0.0")&amp;"%)"</f>
        <v>(0.1%)</v>
      </c>
      <c r="H67" s="8" cm="1">
        <f t="array" aca="1" ref="H67" ca="1">INDIRECT(ADDRESS(ROW($D$38)+$A67,H$63))</f>
        <v>12.319000000000001</v>
      </c>
      <c r="I67" s="9" t="str" cm="1">
        <f t="array" aca="1" ref="I67" ca="1">"("&amp;TEXT(INDIRECT(ADDRESS(ROW($D$38)+$A67,H$63+2)),"0.0")&amp;"%)"</f>
        <v>(1.0%)</v>
      </c>
      <c r="J67" s="8" cm="1">
        <f t="array" aca="1" ref="J67" ca="1">INDIRECT(ADDRESS(ROW($D$38)+$A67,J$63))</f>
        <v>6.5129999999999999</v>
      </c>
      <c r="K67" s="11" t="str" cm="1">
        <f t="array" aca="1" ref="K67" ca="1">"("&amp;TEXT(INDIRECT(ADDRESS(ROW($D$38)+$A67,J$63+2)),"0.0")&amp;"%)"</f>
        <v>(0.1%)</v>
      </c>
      <c r="L67" s="16" cm="1">
        <f t="array" aca="1" ref="L67" ca="1">INDIRECT(ADDRESS(ROW($D$38)+$A67,L$63))</f>
        <v>6.9429999999999996</v>
      </c>
      <c r="M67" s="20" t="str" cm="1">
        <f t="array" aca="1" ref="M67" ca="1">"("&amp;TEXT(INDIRECT(ADDRESS(ROW($D$38)+$A67,L$63+2)),"0.0")&amp;"%)"</f>
        <v>(0.5%)</v>
      </c>
      <c r="N67" s="17" cm="1">
        <f t="array" aca="1" ref="N67" ca="1">INDIRECT(ADDRESS(ROW($D$38)+$A67,N$63))</f>
        <v>5.4240000000000004</v>
      </c>
      <c r="O67" s="20" t="str" cm="1">
        <f t="array" aca="1" ref="O67" ca="1">"("&amp;TEXT(INDIRECT(ADDRESS(ROW($D$38)+$A67,N$63+2)),"0.0")&amp;"%)"</f>
        <v>(0.1%)</v>
      </c>
      <c r="P67" s="17" cm="1">
        <f t="array" aca="1" ref="P67" ca="1">INDIRECT(ADDRESS(ROW($D$38)+$A67,P$63))</f>
        <v>11.407999999999999</v>
      </c>
      <c r="Q67" s="20" t="str" cm="1">
        <f t="array" aca="1" ref="Q67" ca="1">"("&amp;TEXT(INDIRECT(ADDRESS(ROW($D$38)+$A67,P$63+2)),"0.0")&amp;"%)"</f>
        <v>(1.1%)</v>
      </c>
      <c r="R67" s="17" cm="1">
        <f t="array" aca="1" ref="R67" ca="1">INDIRECT(ADDRESS(ROW($D$38)+$A67,R$63))</f>
        <v>6.5389999999999997</v>
      </c>
      <c r="S67" s="22" t="str" cm="1">
        <f t="array" aca="1" ref="S67" ca="1">"("&amp;TEXT(INDIRECT(ADDRESS(ROW($D$38)+$A67,R$63+2)),"0.0")&amp;"%)"</f>
        <v>(0.1%)</v>
      </c>
      <c r="T67" s="6"/>
    </row>
    <row r="68" spans="1:20" x14ac:dyDescent="0.3">
      <c r="A68" s="1">
        <v>2</v>
      </c>
      <c r="B68" s="6"/>
      <c r="C68" s="24" t="str">
        <f t="shared" ca="1" si="25"/>
        <v>ifx</v>
      </c>
      <c r="D68" s="10" cm="1">
        <f t="array" aca="1" ref="D68" ca="1">INDIRECT(ADDRESS(ROW($D$38)+$A68,D$63))</f>
        <v>6.85</v>
      </c>
      <c r="E68" s="9" t="str" cm="1">
        <f t="array" aca="1" ref="E68" ca="1">"("&amp;TEXT(INDIRECT(ADDRESS(ROW($D$38)+$A68,D$63+2)),"0.0")&amp;"%)"</f>
        <v>(1.5%)</v>
      </c>
      <c r="F68" s="8" cm="1">
        <f t="array" aca="1" ref="F68" ca="1">INDIRECT(ADDRESS(ROW($D$38)+$A68,F$63))</f>
        <v>5.4080000000000004</v>
      </c>
      <c r="G68" s="9" t="str" cm="1">
        <f t="array" aca="1" ref="G68" ca="1">"("&amp;TEXT(INDIRECT(ADDRESS(ROW($D$38)+$A68,F$63+2)),"0.0")&amp;"%)"</f>
        <v>(0.1%)</v>
      </c>
      <c r="H68" s="8" cm="1">
        <f t="array" aca="1" ref="H68" ca="1">INDIRECT(ADDRESS(ROW($D$38)+$A68,H$63))</f>
        <v>0</v>
      </c>
      <c r="I68" s="9" t="str" cm="1">
        <f t="array" aca="1" ref="I68" ca="1">"("&amp;TEXT(INDIRECT(ADDRESS(ROW($D$38)+$A68,H$63+2)),"0.0")&amp;"%)"</f>
        <v>(0.0%)</v>
      </c>
      <c r="J68" s="8" cm="1">
        <f t="array" aca="1" ref="J68" ca="1">INDIRECT(ADDRESS(ROW($D$38)+$A68,J$63))</f>
        <v>6.5730000000000004</v>
      </c>
      <c r="K68" s="11" t="str" cm="1">
        <f t="array" aca="1" ref="K68" ca="1">"("&amp;TEXT(INDIRECT(ADDRESS(ROW($D$38)+$A68,J$63+2)),"0.0")&amp;"%)"</f>
        <v>(0.3%)</v>
      </c>
      <c r="L68" s="16" cm="1">
        <f t="array" aca="1" ref="L68" ca="1">INDIRECT(ADDRESS(ROW($D$38)+$A68,L$63))</f>
        <v>3.85</v>
      </c>
      <c r="M68" s="20" t="str" cm="1">
        <f t="array" aca="1" ref="M68" ca="1">"("&amp;TEXT(INDIRECT(ADDRESS(ROW($D$38)+$A68,L$63+2)),"0.0")&amp;"%)"</f>
        <v>(4.3%)</v>
      </c>
      <c r="N68" s="17" cm="1">
        <f t="array" aca="1" ref="N68" ca="1">INDIRECT(ADDRESS(ROW($D$38)+$A68,N$63))</f>
        <v>2.0030000000000001</v>
      </c>
      <c r="O68" s="20" t="str" cm="1">
        <f t="array" aca="1" ref="O68" ca="1">"("&amp;TEXT(INDIRECT(ADDRESS(ROW($D$38)+$A68,N$63+2)),"0.0")&amp;"%)"</f>
        <v>(0.6%)</v>
      </c>
      <c r="P68" s="17" cm="1">
        <f t="array" aca="1" ref="P68" ca="1">INDIRECT(ADDRESS(ROW($D$38)+$A68,P$63))</f>
        <v>0</v>
      </c>
      <c r="Q68" s="20" t="str" cm="1">
        <f t="array" aca="1" ref="Q68" ca="1">"("&amp;TEXT(INDIRECT(ADDRESS(ROW($D$38)+$A68,P$63+2)),"0.0")&amp;"%)"</f>
        <v>(0.0%)</v>
      </c>
      <c r="R68" s="17" cm="1">
        <f t="array" aca="1" ref="R68" ca="1">INDIRECT(ADDRESS(ROW($D$38)+$A68,R$63))</f>
        <v>4.6020000000000003</v>
      </c>
      <c r="S68" s="22" t="str" cm="1">
        <f t="array" aca="1" ref="S68" ca="1">"("&amp;TEXT(INDIRECT(ADDRESS(ROW($D$38)+$A68,R$63+2)),"0.0")&amp;"%)"</f>
        <v>(0.2%)</v>
      </c>
      <c r="T68" s="6"/>
    </row>
    <row r="69" spans="1:20" ht="25" thickBot="1" x14ac:dyDescent="0.35">
      <c r="A69" s="1">
        <v>3</v>
      </c>
      <c r="B69" s="6"/>
      <c r="C69" s="25" t="str">
        <f t="shared" ca="1" si="25"/>
        <v>ifx_o3</v>
      </c>
      <c r="D69" s="12" cm="1">
        <f t="array" aca="1" ref="D69" ca="1">INDIRECT(ADDRESS(ROW($D$38)+$A69,D$63))</f>
        <v>7</v>
      </c>
      <c r="E69" s="13" t="str" cm="1">
        <f t="array" aca="1" ref="E69" ca="1">"("&amp;TEXT(INDIRECT(ADDRESS(ROW($D$38)+$A69,D$63+2)),"0.0")&amp;"%)"</f>
        <v>(2.6%)</v>
      </c>
      <c r="F69" s="14" cm="1">
        <f t="array" aca="1" ref="F69" ca="1">INDIRECT(ADDRESS(ROW($D$38)+$A69,F$63))</f>
        <v>5.4089999999999998</v>
      </c>
      <c r="G69" s="13" t="str" cm="1">
        <f t="array" aca="1" ref="G69" ca="1">"("&amp;TEXT(INDIRECT(ADDRESS(ROW($D$38)+$A69,F$63+2)),"0.0")&amp;"%)"</f>
        <v>(0.1%)</v>
      </c>
      <c r="H69" s="14" cm="1">
        <f t="array" aca="1" ref="H69" ca="1">INDIRECT(ADDRESS(ROW($D$38)+$A69,H$63))</f>
        <v>0</v>
      </c>
      <c r="I69" s="13" t="str" cm="1">
        <f t="array" aca="1" ref="I69" ca="1">"("&amp;TEXT(INDIRECT(ADDRESS(ROW($D$38)+$A69,H$63+2)),"0.0")&amp;"%)"</f>
        <v>(0.0%)</v>
      </c>
      <c r="J69" s="14" cm="1">
        <f t="array" aca="1" ref="J69" ca="1">INDIRECT(ADDRESS(ROW($D$38)+$A69,J$63))</f>
        <v>6.625</v>
      </c>
      <c r="K69" s="15" t="str" cm="1">
        <f t="array" aca="1" ref="K69" ca="1">"("&amp;TEXT(INDIRECT(ADDRESS(ROW($D$38)+$A69,J$63+2)),"0.0")&amp;"%)"</f>
        <v>(0.4%)</v>
      </c>
      <c r="L69" s="18" cm="1">
        <f t="array" aca="1" ref="L69" ca="1">INDIRECT(ADDRESS(ROW($D$38)+$A69,L$63))</f>
        <v>3.9</v>
      </c>
      <c r="M69" s="21" t="str" cm="1">
        <f t="array" aca="1" ref="M69" ca="1">"("&amp;TEXT(INDIRECT(ADDRESS(ROW($D$38)+$A69,L$63+2)),"0.0")&amp;"%)"</f>
        <v>(3.5%)</v>
      </c>
      <c r="N69" s="19" cm="1">
        <f t="array" aca="1" ref="N69" ca="1">INDIRECT(ADDRESS(ROW($D$38)+$A69,N$63))</f>
        <v>1.9870000000000001</v>
      </c>
      <c r="O69" s="21" t="str" cm="1">
        <f t="array" aca="1" ref="O69" ca="1">"("&amp;TEXT(INDIRECT(ADDRESS(ROW($D$38)+$A69,N$63+2)),"0.0")&amp;"%)"</f>
        <v>(0.9%)</v>
      </c>
      <c r="P69" s="19" cm="1">
        <f t="array" aca="1" ref="P69" ca="1">INDIRECT(ADDRESS(ROW($D$38)+$A69,P$63))</f>
        <v>0</v>
      </c>
      <c r="Q69" s="21" t="str" cm="1">
        <f t="array" aca="1" ref="Q69" ca="1">"("&amp;TEXT(INDIRECT(ADDRESS(ROW($D$38)+$A69,P$63+2)),"0.0")&amp;"%)"</f>
        <v>(0.0%)</v>
      </c>
      <c r="R69" s="19" cm="1">
        <f t="array" aca="1" ref="R69" ca="1">INDIRECT(ADDRESS(ROW($D$38)+$A69,R$63))</f>
        <v>4.601</v>
      </c>
      <c r="S69" s="23" t="str" cm="1">
        <f t="array" aca="1" ref="S69" ca="1">"("&amp;TEXT(INDIRECT(ADDRESS(ROW($D$38)+$A69,R$63+2)),"0.0")&amp;"%)"</f>
        <v>(0.2%)</v>
      </c>
      <c r="T69" s="6"/>
    </row>
    <row r="70" spans="1:20" x14ac:dyDescent="0.3">
      <c r="A70" s="1">
        <v>4</v>
      </c>
      <c r="B70" s="6"/>
      <c r="C70" s="33" t="str">
        <f t="shared" ca="1" si="25"/>
        <v>g++</v>
      </c>
      <c r="D70" s="34" cm="1">
        <f t="array" aca="1" ref="D70" ca="1">INDIRECT(ADDRESS(ROW($D$38)+$A70,D$63))</f>
        <v>7.1040000000000001</v>
      </c>
      <c r="E70" s="35" t="str" cm="1">
        <f t="array" aca="1" ref="E70" ca="1">"("&amp;TEXT(INDIRECT(ADDRESS(ROW($D$38)+$A70,D$63+2)),"0.0")&amp;"%)"</f>
        <v>(0.5%)</v>
      </c>
      <c r="F70" s="36" cm="1">
        <f t="array" aca="1" ref="F70" ca="1">INDIRECT(ADDRESS(ROW($D$38)+$A70,F$63))</f>
        <v>32.521999999999998</v>
      </c>
      <c r="G70" s="35" t="str" cm="1">
        <f t="array" aca="1" ref="G70" ca="1">"("&amp;TEXT(INDIRECT(ADDRESS(ROW($D$38)+$A70,F$63+2)),"0.0")&amp;"%)"</f>
        <v>(0.1%)</v>
      </c>
      <c r="H70" s="36" cm="1">
        <f t="array" aca="1" ref="H70" ca="1">INDIRECT(ADDRESS(ROW($D$38)+$A70,H$63))</f>
        <v>12.673999999999999</v>
      </c>
      <c r="I70" s="35" t="str" cm="1">
        <f t="array" aca="1" ref="I70" ca="1">"("&amp;TEXT(INDIRECT(ADDRESS(ROW($D$38)+$A70,H$63+2)),"0.0")&amp;"%)"</f>
        <v>(1.0%)</v>
      </c>
      <c r="J70" s="36" cm="1">
        <f t="array" aca="1" ref="J70" ca="1">INDIRECT(ADDRESS(ROW($D$38)+$A70,J$63))</f>
        <v>18.952999999999999</v>
      </c>
      <c r="K70" s="37" t="str" cm="1">
        <f t="array" aca="1" ref="K70" ca="1">"("&amp;TEXT(INDIRECT(ADDRESS(ROW($D$38)+$A70,J$63+2)),"0.0")&amp;"%)"</f>
        <v>(0.2%)</v>
      </c>
      <c r="L70" s="38" cm="1">
        <f t="array" aca="1" ref="L70" ca="1">INDIRECT(ADDRESS(ROW($D$38)+$A70,L$63))</f>
        <v>7.2480000000000002</v>
      </c>
      <c r="M70" s="39" t="str" cm="1">
        <f t="array" aca="1" ref="M70" ca="1">"("&amp;TEXT(INDIRECT(ADDRESS(ROW($D$38)+$A70,L$63+2)),"0.0")&amp;"%)"</f>
        <v>(0.5%)</v>
      </c>
      <c r="N70" s="40" cm="1">
        <f t="array" aca="1" ref="N70" ca="1">INDIRECT(ADDRESS(ROW($D$38)+$A70,N$63))</f>
        <v>26.975999999999999</v>
      </c>
      <c r="O70" s="39" t="str" cm="1">
        <f t="array" aca="1" ref="O70" ca="1">"("&amp;TEXT(INDIRECT(ADDRESS(ROW($D$38)+$A70,N$63+2)),"0.0")&amp;"%)"</f>
        <v>(0.1%)</v>
      </c>
      <c r="P70" s="40" cm="1">
        <f t="array" aca="1" ref="P70" ca="1">INDIRECT(ADDRESS(ROW($D$38)+$A70,P$63))</f>
        <v>11.153</v>
      </c>
      <c r="Q70" s="39" t="str" cm="1">
        <f t="array" aca="1" ref="Q70" ca="1">"("&amp;TEXT(INDIRECT(ADDRESS(ROW($D$38)+$A70,P$63+2)),"0.0")&amp;"%)"</f>
        <v>(1.1%)</v>
      </c>
      <c r="R70" s="40" cm="1">
        <f t="array" aca="1" ref="R70" ca="1">INDIRECT(ADDRESS(ROW($D$38)+$A70,R$63))</f>
        <v>18.722000000000001</v>
      </c>
      <c r="S70" s="41" t="str" cm="1">
        <f t="array" aca="1" ref="S70" ca="1">"("&amp;TEXT(INDIRECT(ADDRESS(ROW($D$38)+$A70,R$63+2)),"0.0")&amp;"%)"</f>
        <v>(0.0%)</v>
      </c>
      <c r="T70" s="6"/>
    </row>
    <row r="71" spans="1:20" x14ac:dyDescent="0.3">
      <c r="A71" s="1">
        <v>5</v>
      </c>
      <c r="B71" s="6"/>
      <c r="C71" s="24" t="str">
        <f t="shared" ca="1" si="25"/>
        <v>g++_o3</v>
      </c>
      <c r="D71" s="10" cm="1">
        <f t="array" aca="1" ref="D71" ca="1">INDIRECT(ADDRESS(ROW($D$38)+$A71,D$63))</f>
        <v>7.0810000000000004</v>
      </c>
      <c r="E71" s="9" t="str" cm="1">
        <f t="array" aca="1" ref="E71" ca="1">"("&amp;TEXT(INDIRECT(ADDRESS(ROW($D$38)+$A71,D$63+2)),"0.0")&amp;"%)"</f>
        <v>(0.5%)</v>
      </c>
      <c r="F71" s="8" cm="1">
        <f t="array" aca="1" ref="F71" ca="1">INDIRECT(ADDRESS(ROW($D$38)+$A71,F$63))</f>
        <v>18.863</v>
      </c>
      <c r="G71" s="9" t="str" cm="1">
        <f t="array" aca="1" ref="G71" ca="1">"("&amp;TEXT(INDIRECT(ADDRESS(ROW($D$38)+$A71,F$63+2)),"0.0")&amp;"%)"</f>
        <v>(0.0%)</v>
      </c>
      <c r="H71" s="8" cm="1">
        <f t="array" aca="1" ref="H71" ca="1">INDIRECT(ADDRESS(ROW($D$38)+$A71,H$63))</f>
        <v>12.795</v>
      </c>
      <c r="I71" s="9" t="str" cm="1">
        <f t="array" aca="1" ref="I71" ca="1">"("&amp;TEXT(INDIRECT(ADDRESS(ROW($D$38)+$A71,H$63+2)),"0.0")&amp;"%)"</f>
        <v>(0.9%)</v>
      </c>
      <c r="J71" s="8" cm="1">
        <f t="array" aca="1" ref="J71" ca="1">INDIRECT(ADDRESS(ROW($D$38)+$A71,J$63))</f>
        <v>12.614000000000001</v>
      </c>
      <c r="K71" s="11" t="str" cm="1">
        <f t="array" aca="1" ref="K71" ca="1">"("&amp;TEXT(INDIRECT(ADDRESS(ROW($D$38)+$A71,J$63+2)),"0.0")&amp;"%)"</f>
        <v>(0.3%)</v>
      </c>
      <c r="L71" s="16" cm="1">
        <f t="array" aca="1" ref="L71" ca="1">INDIRECT(ADDRESS(ROW($D$38)+$A71,L$63))</f>
        <v>7.0389999999999997</v>
      </c>
      <c r="M71" s="20" t="str" cm="1">
        <f t="array" aca="1" ref="M71" ca="1">"("&amp;TEXT(INDIRECT(ADDRESS(ROW($D$38)+$A71,L$63+2)),"0.0")&amp;"%)"</f>
        <v>(0.5%)</v>
      </c>
      <c r="N71" s="17" cm="1">
        <f t="array" aca="1" ref="N71" ca="1">INDIRECT(ADDRESS(ROW($D$38)+$A71,N$63))</f>
        <v>8.0909999999999993</v>
      </c>
      <c r="O71" s="20" t="str" cm="1">
        <f t="array" aca="1" ref="O71" ca="1">"("&amp;TEXT(INDIRECT(ADDRESS(ROW($D$38)+$A71,N$63+2)),"0.0")&amp;"%)"</f>
        <v>(0.1%)</v>
      </c>
      <c r="P71" s="17" cm="1">
        <f t="array" aca="1" ref="P71" ca="1">INDIRECT(ADDRESS(ROW($D$38)+$A71,P$63))</f>
        <v>11.103999999999999</v>
      </c>
      <c r="Q71" s="20" t="str" cm="1">
        <f t="array" aca="1" ref="Q71" ca="1">"("&amp;TEXT(INDIRECT(ADDRESS(ROW($D$38)+$A71,P$63+2)),"0.0")&amp;"%)"</f>
        <v>(1.0%)</v>
      </c>
      <c r="R71" s="17" cm="1">
        <f t="array" aca="1" ref="R71" ca="1">INDIRECT(ADDRESS(ROW($D$38)+$A71,R$63))</f>
        <v>9.6059999999999999</v>
      </c>
      <c r="S71" s="22" t="str" cm="1">
        <f t="array" aca="1" ref="S71" ca="1">"("&amp;TEXT(INDIRECT(ADDRESS(ROW($D$38)+$A71,R$63+2)),"0.0")&amp;"%)"</f>
        <v>(0.1%)</v>
      </c>
      <c r="T71" s="6"/>
    </row>
    <row r="72" spans="1:20" x14ac:dyDescent="0.3">
      <c r="A72" s="1">
        <v>6</v>
      </c>
      <c r="B72" s="6"/>
      <c r="C72" s="24" t="str">
        <f t="shared" ca="1" si="25"/>
        <v>icx</v>
      </c>
      <c r="D72" s="10" cm="1">
        <f t="array" aca="1" ref="D72" ca="1">INDIRECT(ADDRESS(ROW($D$38)+$A72,D$63))</f>
        <v>4.8540000000000001</v>
      </c>
      <c r="E72" s="9" t="str" cm="1">
        <f t="array" aca="1" ref="E72" ca="1">"("&amp;TEXT(INDIRECT(ADDRESS(ROW($D$38)+$A72,D$63+2)),"0.0")&amp;"%)"</f>
        <v>(2.1%)</v>
      </c>
      <c r="F72" s="8" cm="1">
        <f t="array" aca="1" ref="F72" ca="1">INDIRECT(ADDRESS(ROW($D$38)+$A72,F$63))</f>
        <v>1.925</v>
      </c>
      <c r="G72" s="9" t="str" cm="1">
        <f t="array" aca="1" ref="G72" ca="1">"("&amp;TEXT(INDIRECT(ADDRESS(ROW($D$38)+$A72,F$63+2)),"0.0")&amp;"%)"</f>
        <v>(1.2%)</v>
      </c>
      <c r="H72" s="8" cm="1">
        <f t="array" aca="1" ref="H72" ca="1">INDIRECT(ADDRESS(ROW($D$38)+$A72,H$63))</f>
        <v>0</v>
      </c>
      <c r="I72" s="9" t="str" cm="1">
        <f t="array" aca="1" ref="I72" ca="1">"("&amp;TEXT(INDIRECT(ADDRESS(ROW($D$38)+$A72,H$63+2)),"0.0")&amp;"%)"</f>
        <v>(0.0%)</v>
      </c>
      <c r="J72" s="8" cm="1">
        <f t="array" aca="1" ref="J72" ca="1">INDIRECT(ADDRESS(ROW($D$38)+$A72,J$63))</f>
        <v>5.4859999999999998</v>
      </c>
      <c r="K72" s="11" t="str" cm="1">
        <f t="array" aca="1" ref="K72" ca="1">"("&amp;TEXT(INDIRECT(ADDRESS(ROW($D$38)+$A72,J$63+2)),"0.0")&amp;"%)"</f>
        <v>(0.8%)</v>
      </c>
      <c r="L72" s="16" cm="1">
        <f t="array" aca="1" ref="L72" ca="1">INDIRECT(ADDRESS(ROW($D$38)+$A72,L$63))</f>
        <v>4.1669999999999998</v>
      </c>
      <c r="M72" s="20" t="str" cm="1">
        <f t="array" aca="1" ref="M72" ca="1">"("&amp;TEXT(INDIRECT(ADDRESS(ROW($D$38)+$A72,L$63+2)),"0.0")&amp;"%)"</f>
        <v>(1.3%)</v>
      </c>
      <c r="N72" s="17" cm="1">
        <f t="array" aca="1" ref="N72" ca="1">INDIRECT(ADDRESS(ROW($D$38)+$A72,N$63))</f>
        <v>1.8620000000000001</v>
      </c>
      <c r="O72" s="20" t="str" cm="1">
        <f t="array" aca="1" ref="O72" ca="1">"("&amp;TEXT(INDIRECT(ADDRESS(ROW($D$38)+$A72,N$63+2)),"0.0")&amp;"%)"</f>
        <v>(1.1%)</v>
      </c>
      <c r="P72" s="17" cm="1">
        <f t="array" aca="1" ref="P72" ca="1">INDIRECT(ADDRESS(ROW($D$38)+$A72,P$63))</f>
        <v>0</v>
      </c>
      <c r="Q72" s="20" t="str" cm="1">
        <f t="array" aca="1" ref="Q72" ca="1">"("&amp;TEXT(INDIRECT(ADDRESS(ROW($D$38)+$A72,P$63+2)),"0.0")&amp;"%)"</f>
        <v>(0.0%)</v>
      </c>
      <c r="R72" s="17" cm="1">
        <f t="array" aca="1" ref="R72" ca="1">INDIRECT(ADDRESS(ROW($D$38)+$A72,R$63))</f>
        <v>4.6360000000000001</v>
      </c>
      <c r="S72" s="22" t="str" cm="1">
        <f t="array" aca="1" ref="S72" ca="1">"("&amp;TEXT(INDIRECT(ADDRESS(ROW($D$38)+$A72,R$63+2)),"0.0")&amp;"%)"</f>
        <v>(0.2%)</v>
      </c>
      <c r="T72" s="6"/>
    </row>
    <row r="73" spans="1:20" ht="25" thickBot="1" x14ac:dyDescent="0.35">
      <c r="A73" s="1">
        <v>7</v>
      </c>
      <c r="B73" s="6"/>
      <c r="C73" s="25" t="str">
        <f t="shared" ca="1" si="25"/>
        <v>icx_o3</v>
      </c>
      <c r="D73" s="12" cm="1">
        <f t="array" aca="1" ref="D73" ca="1">INDIRECT(ADDRESS(ROW($D$38)+$A73,D$63))</f>
        <v>4.7110000000000003</v>
      </c>
      <c r="E73" s="13" t="str" cm="1">
        <f t="array" aca="1" ref="E73" ca="1">"("&amp;TEXT(INDIRECT(ADDRESS(ROW($D$38)+$A73,D$63+2)),"0.0")&amp;"%)"</f>
        <v>(1.8%)</v>
      </c>
      <c r="F73" s="14" cm="1">
        <f t="array" aca="1" ref="F73" ca="1">INDIRECT(ADDRESS(ROW($D$38)+$A73,F$63))</f>
        <v>1.907</v>
      </c>
      <c r="G73" s="13" t="str" cm="1">
        <f t="array" aca="1" ref="G73" ca="1">"("&amp;TEXT(INDIRECT(ADDRESS(ROW($D$38)+$A73,F$63+2)),"0.0")&amp;"%)"</f>
        <v>(1.1%)</v>
      </c>
      <c r="H73" s="14" cm="1">
        <f t="array" aca="1" ref="H73" ca="1">INDIRECT(ADDRESS(ROW($D$38)+$A73,H$63))</f>
        <v>0</v>
      </c>
      <c r="I73" s="13" t="str" cm="1">
        <f t="array" aca="1" ref="I73" ca="1">"("&amp;TEXT(INDIRECT(ADDRESS(ROW($D$38)+$A73,H$63+2)),"0.0")&amp;"%)"</f>
        <v>(0.0%)</v>
      </c>
      <c r="J73" s="14" cm="1">
        <f t="array" aca="1" ref="J73" ca="1">INDIRECT(ADDRESS(ROW($D$38)+$A73,J$63))</f>
        <v>5.4710000000000001</v>
      </c>
      <c r="K73" s="15" t="str" cm="1">
        <f t="array" aca="1" ref="K73" ca="1">"("&amp;TEXT(INDIRECT(ADDRESS(ROW($D$38)+$A73,J$63+2)),"0.0")&amp;"%)"</f>
        <v>(0.7%)</v>
      </c>
      <c r="L73" s="18" cm="1">
        <f t="array" aca="1" ref="L73" ca="1">INDIRECT(ADDRESS(ROW($D$38)+$A73,L$63))</f>
        <v>4.1829999999999998</v>
      </c>
      <c r="M73" s="21" t="str" cm="1">
        <f t="array" aca="1" ref="M73" ca="1">"("&amp;TEXT(INDIRECT(ADDRESS(ROW($D$38)+$A73,L$63+2)),"0.0")&amp;"%)"</f>
        <v>(1.2%)</v>
      </c>
      <c r="N73" s="19" cm="1">
        <f t="array" aca="1" ref="N73" ca="1">INDIRECT(ADDRESS(ROW($D$38)+$A73,N$63))</f>
        <v>1.903</v>
      </c>
      <c r="O73" s="21" t="str" cm="1">
        <f t="array" aca="1" ref="O73" ca="1">"("&amp;TEXT(INDIRECT(ADDRESS(ROW($D$38)+$A73,N$63+2)),"0.0")&amp;"%)"</f>
        <v>(1.1%)</v>
      </c>
      <c r="P73" s="19" cm="1">
        <f t="array" aca="1" ref="P73" ca="1">INDIRECT(ADDRESS(ROW($D$38)+$A73,P$63))</f>
        <v>0</v>
      </c>
      <c r="Q73" s="21" t="str" cm="1">
        <f t="array" aca="1" ref="Q73" ca="1">"("&amp;TEXT(INDIRECT(ADDRESS(ROW($D$38)+$A73,P$63+2)),"0.0")&amp;"%)"</f>
        <v>(0.0%)</v>
      </c>
      <c r="R73" s="19" cm="1">
        <f t="array" aca="1" ref="R73" ca="1">INDIRECT(ADDRESS(ROW($D$38)+$A73,R$63))</f>
        <v>4.6379999999999999</v>
      </c>
      <c r="S73" s="23" t="str" cm="1">
        <f t="array" aca="1" ref="S73" ca="1">"("&amp;TEXT(INDIRECT(ADDRESS(ROW($D$38)+$A73,R$63+2)),"0.0")&amp;"%)"</f>
        <v>(0.2%)</v>
      </c>
      <c r="T73" s="6"/>
    </row>
    <row r="74" spans="1:20" x14ac:dyDescent="0.3">
      <c r="A74" s="1">
        <v>8</v>
      </c>
      <c r="B74" s="6"/>
      <c r="C74" s="6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</row>
    <row r="75" spans="1:20" x14ac:dyDescent="0.3">
      <c r="A75" s="1">
        <v>9</v>
      </c>
      <c r="B75" s="6"/>
      <c r="C75" s="6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</row>
    <row r="76" spans="1:20" x14ac:dyDescent="0.3">
      <c r="A76" s="1">
        <v>10</v>
      </c>
      <c r="B76" s="6"/>
      <c r="C76" s="6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</row>
    <row r="77" spans="1:20" x14ac:dyDescent="0.3">
      <c r="A77" s="1">
        <v>11</v>
      </c>
      <c r="B77" s="6"/>
      <c r="C77" s="6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</row>
    <row r="78" spans="1:20" x14ac:dyDescent="0.3">
      <c r="A78" s="1">
        <v>12</v>
      </c>
      <c r="B78" s="6"/>
      <c r="C78" s="6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</row>
    <row r="79" spans="1:20" x14ac:dyDescent="0.3">
      <c r="A79" s="1">
        <v>13</v>
      </c>
      <c r="B79" s="6"/>
      <c r="C79" s="6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</row>
    <row r="80" spans="1:20" x14ac:dyDescent="0.3">
      <c r="A80" s="1">
        <v>14</v>
      </c>
      <c r="B80" s="6"/>
      <c r="C80" s="6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</row>
    <row r="81" spans="1:20" x14ac:dyDescent="0.3">
      <c r="A81" s="1">
        <v>15</v>
      </c>
      <c r="B81" s="6"/>
      <c r="C81" s="6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</row>
    <row r="82" spans="1:20" x14ac:dyDescent="0.3">
      <c r="A82" s="1">
        <v>16</v>
      </c>
      <c r="B82" s="6"/>
      <c r="C82" s="6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</row>
    <row r="83" spans="1:20" x14ac:dyDescent="0.3">
      <c r="A83" s="1">
        <v>17</v>
      </c>
      <c r="B83" s="6"/>
      <c r="C83" s="6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</row>
    <row r="84" spans="1:20" x14ac:dyDescent="0.3">
      <c r="A84" s="1">
        <v>18</v>
      </c>
      <c r="B84" s="6"/>
      <c r="C84" s="6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</row>
    <row r="85" spans="1:20" x14ac:dyDescent="0.3">
      <c r="A85" s="1">
        <v>19</v>
      </c>
      <c r="B85" s="6"/>
      <c r="C85" s="6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</row>
    <row r="86" spans="1:20" x14ac:dyDescent="0.3">
      <c r="A86" s="1">
        <v>20</v>
      </c>
      <c r="B86" s="6"/>
      <c r="C86" s="6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</row>
    <row r="87" spans="1:20" x14ac:dyDescent="0.3">
      <c r="A87" s="1">
        <v>21</v>
      </c>
      <c r="B87" s="6"/>
      <c r="C87" s="6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</row>
    <row r="88" spans="1:20" x14ac:dyDescent="0.3">
      <c r="A88" s="1">
        <v>22</v>
      </c>
      <c r="B88" s="6"/>
      <c r="C88" s="6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</row>
    <row r="89" spans="1:20" x14ac:dyDescent="0.3">
      <c r="A89" s="1">
        <v>23</v>
      </c>
      <c r="B89" s="6"/>
      <c r="C89" s="6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</row>
    <row r="90" spans="1:20" x14ac:dyDescent="0.3">
      <c r="A90" s="1">
        <v>24</v>
      </c>
      <c r="B90" s="6"/>
      <c r="C90" s="6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</row>
  </sheetData>
  <mergeCells count="8">
    <mergeCell ref="P65:Q65"/>
    <mergeCell ref="R65:S65"/>
    <mergeCell ref="D65:E65"/>
    <mergeCell ref="F65:G65"/>
    <mergeCell ref="H65:I65"/>
    <mergeCell ref="J65:K65"/>
    <mergeCell ref="L65:M65"/>
    <mergeCell ref="N65:O6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C37E-3B92-8C41-B01C-460E6D3B47B2}">
  <dimension ref="A5:AC90"/>
  <sheetViews>
    <sheetView topLeftCell="A28" workbookViewId="0">
      <selection activeCell="G76" sqref="G76"/>
    </sheetView>
  </sheetViews>
  <sheetFormatPr baseColWidth="10" defaultRowHeight="24" x14ac:dyDescent="0.3"/>
  <cols>
    <col min="1" max="1" width="10.83203125" style="1"/>
    <col min="2" max="2" width="15.5" style="1" customWidth="1"/>
    <col min="3" max="3" width="18.33203125" style="1" customWidth="1"/>
    <col min="4" max="4" width="9.33203125" style="1" customWidth="1"/>
    <col min="5" max="5" width="11.83203125" style="1" customWidth="1"/>
    <col min="6" max="6" width="9.33203125" style="1" customWidth="1"/>
    <col min="7" max="7" width="11.83203125" style="1" customWidth="1"/>
    <col min="8" max="8" width="9.33203125" style="1" customWidth="1"/>
    <col min="9" max="9" width="11.83203125" style="1" customWidth="1"/>
    <col min="10" max="10" width="9.33203125" style="1" customWidth="1"/>
    <col min="11" max="11" width="11.83203125" style="1" customWidth="1"/>
    <col min="12" max="12" width="9.33203125" style="1" customWidth="1"/>
    <col min="13" max="13" width="11.83203125" style="1" customWidth="1"/>
    <col min="14" max="14" width="9.33203125" style="1" customWidth="1"/>
    <col min="15" max="15" width="11.83203125" style="1" customWidth="1"/>
    <col min="16" max="16" width="9.33203125" style="1" customWidth="1"/>
    <col min="17" max="17" width="11.83203125" style="1" customWidth="1"/>
    <col min="18" max="18" width="9.33203125" style="1" customWidth="1"/>
    <col min="19" max="19" width="11.83203125" style="1" customWidth="1"/>
    <col min="20" max="29" width="20.83203125" style="1" customWidth="1"/>
    <col min="30" max="16384" width="10.83203125" style="1"/>
  </cols>
  <sheetData>
    <row r="5" spans="1:29" x14ac:dyDescent="0.3">
      <c r="B5" s="1" t="s">
        <v>141</v>
      </c>
      <c r="C5" s="5">
        <v>90</v>
      </c>
    </row>
    <row r="6" spans="1:29" x14ac:dyDescent="0.3">
      <c r="C6" s="1" t="s">
        <v>142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</row>
    <row r="10" spans="1:29" ht="100" x14ac:dyDescent="0.3">
      <c r="C10" s="4" t="s">
        <v>140</v>
      </c>
      <c r="D10" s="3" t="s">
        <v>137</v>
      </c>
      <c r="G10" s="3" t="s">
        <v>143</v>
      </c>
      <c r="J10" s="3" t="s">
        <v>138</v>
      </c>
      <c r="M10" s="3" t="s">
        <v>144</v>
      </c>
      <c r="P10" s="3" t="s">
        <v>139</v>
      </c>
      <c r="S10" s="3" t="s">
        <v>145</v>
      </c>
      <c r="V10" s="3" t="s">
        <v>147</v>
      </c>
      <c r="Y10" s="3" t="s">
        <v>146</v>
      </c>
      <c r="AB10" s="3"/>
      <c r="AC10" s="3"/>
    </row>
    <row r="11" spans="1:29" x14ac:dyDescent="0.3">
      <c r="A11" s="1">
        <v>0</v>
      </c>
      <c r="C11" s="1" t="str" cm="1">
        <f t="array" aca="1" ref="C11" ca="1">INDIRECT("RawData!A"&amp;TEXT(C$5+A11,"0"))</f>
        <v>Test6/gfortran.x</v>
      </c>
      <c r="D11" s="1" cm="1">
        <f t="array" aca="1" ref="D11" ca="1">INDIRECT("RawData!"&amp;ADDRESS($C$5+$A11,D$6))</f>
        <v>7.1879999999999997</v>
      </c>
      <c r="E11" s="1" cm="1">
        <f t="array" aca="1" ref="E11" ca="1">INDIRECT("RawData!"&amp;ADDRESS($C$5+$A11,E$6))</f>
        <v>0.41427999999999998</v>
      </c>
      <c r="F11" s="1" cm="1">
        <f t="array" aca="1" ref="F11" ca="1">INDIRECT("RawData!"&amp;ADDRESS($C$5+$A11,F$6))</f>
        <v>6.5500000000000003E-2</v>
      </c>
      <c r="G11" s="1" cm="1">
        <f t="array" aca="1" ref="G11" ca="1">INDIRECT("RawData!"&amp;ADDRESS($C$5+$A11,G$6))</f>
        <v>7.07</v>
      </c>
      <c r="H11" s="1" cm="1">
        <f t="array" aca="1" ref="H11" ca="1">INDIRECT("RawData!"&amp;ADDRESS($C$5+$A11,H$6))</f>
        <v>0.21904000000000001</v>
      </c>
      <c r="I11" s="1" cm="1">
        <f t="array" aca="1" ref="I11" ca="1">INDIRECT("RawData!"&amp;ADDRESS($C$5+$A11,I$6))</f>
        <v>3.4630000000000001E-2</v>
      </c>
      <c r="J11" s="1" cm="1">
        <f t="array" aca="1" ref="J11" ca="1">INDIRECT("RawData!"&amp;ADDRESS($C$5+$A11,J$6))</f>
        <v>5.431</v>
      </c>
      <c r="K11" s="1" cm="1">
        <f t="array" aca="1" ref="K11" ca="1">INDIRECT("RawData!"&amp;ADDRESS($C$5+$A11,K$6))</f>
        <v>2.928E-2</v>
      </c>
      <c r="L11" s="1" cm="1">
        <f t="array" aca="1" ref="L11" ca="1">INDIRECT("RawData!"&amp;ADDRESS($C$5+$A11,L$6))</f>
        <v>4.6299999999999996E-3</v>
      </c>
      <c r="M11" s="1" cm="1">
        <f t="array" aca="1" ref="M11" ca="1">INDIRECT("RawData!"&amp;ADDRESS($C$5+$A11,M$6))</f>
        <v>5.4020000000000001</v>
      </c>
      <c r="N11" s="1" cm="1">
        <f t="array" aca="1" ref="N11" ca="1">INDIRECT("RawData!"&amp;ADDRESS($C$5+$A11,N$6))</f>
        <v>1.593E-2</v>
      </c>
      <c r="O11" s="1" cm="1">
        <f t="array" aca="1" ref="O11" ca="1">INDIRECT("RawData!"&amp;ADDRESS($C$5+$A11,O$6))</f>
        <v>2.5200000000000001E-3</v>
      </c>
      <c r="P11" s="1" cm="1">
        <f t="array" aca="1" ref="P11" ca="1">INDIRECT("RawData!"&amp;ADDRESS($C$5+$A11,P$6))</f>
        <v>12.013</v>
      </c>
      <c r="Q11" s="1" cm="1">
        <f t="array" aca="1" ref="Q11" ca="1">INDIRECT("RawData!"&amp;ADDRESS($C$5+$A11,Q$6))</f>
        <v>0.62831000000000004</v>
      </c>
      <c r="R11" s="1" cm="1">
        <f t="array" aca="1" ref="R11" ca="1">INDIRECT("RawData!"&amp;ADDRESS($C$5+$A11,R$6))</f>
        <v>9.9339999999999998E-2</v>
      </c>
      <c r="S11" s="1" cm="1">
        <f t="array" aca="1" ref="S11" ca="1">INDIRECT("RawData!"&amp;ADDRESS($C$5+$A11,S$6))</f>
        <v>11.055999999999999</v>
      </c>
      <c r="T11" s="1" cm="1">
        <f t="array" aca="1" ref="T11" ca="1">INDIRECT("RawData!"&amp;ADDRESS($C$5+$A11,T$6))</f>
        <v>0.90298</v>
      </c>
      <c r="U11" s="1" cm="1">
        <f t="array" aca="1" ref="U11" ca="1">INDIRECT("RawData!"&amp;ADDRESS($C$5+$A11,U$6))</f>
        <v>0.14277000000000001</v>
      </c>
      <c r="V11" s="1" cm="1">
        <f t="array" aca="1" ref="V11" ca="1">INDIRECT("RawData!"&amp;ADDRESS($C$5+$A11,V$6))</f>
        <v>6.5670000000000002</v>
      </c>
      <c r="W11" s="1" cm="1">
        <f t="array" aca="1" ref="W11" ca="1">INDIRECT("RawData!"&amp;ADDRESS($C$5+$A11,W$6))</f>
        <v>4.4269999999999997E-2</v>
      </c>
      <c r="X11" s="1" cm="1">
        <f t="array" aca="1" ref="X11" ca="1">INDIRECT("RawData!"&amp;ADDRESS($C$5+$A11,X$6))</f>
        <v>7.0000000000000001E-3</v>
      </c>
      <c r="Y11" s="1" cm="1">
        <f t="array" aca="1" ref="Y11" ca="1">INDIRECT("RawData!"&amp;ADDRESS($C$5+$A11,Y$6))</f>
        <v>6.57</v>
      </c>
      <c r="Z11" s="1" cm="1">
        <f t="array" aca="1" ref="Z11" ca="1">INDIRECT("RawData!"&amp;ADDRESS($C$5+$A11,Z$6))</f>
        <v>5.1360000000000003E-2</v>
      </c>
      <c r="AA11" s="1" cm="1">
        <f t="array" aca="1" ref="AA11" ca="1">INDIRECT("RawData!"&amp;ADDRESS($C$5+$A11,AA$6))</f>
        <v>8.1200000000000005E-3</v>
      </c>
    </row>
    <row r="12" spans="1:29" x14ac:dyDescent="0.3">
      <c r="A12" s="1">
        <v>1</v>
      </c>
      <c r="C12" s="1" t="str" cm="1">
        <f t="array" aca="1" ref="C12" ca="1">INDIRECT("RawData!A"&amp;TEXT(C$5+A12,"0"))</f>
        <v>Test6/gfortran_o3.x</v>
      </c>
      <c r="D12" s="1" cm="1">
        <f t="array" aca="1" ref="D12" ca="1">INDIRECT("RawData!"&amp;ADDRESS($C$5+$A12,D$6))</f>
        <v>7.1520000000000001</v>
      </c>
      <c r="E12" s="1" cm="1">
        <f t="array" aca="1" ref="E12" ca="1">INDIRECT("RawData!"&amp;ADDRESS($C$5+$A12,E$6))</f>
        <v>0.37870999999999999</v>
      </c>
      <c r="F12" s="1" cm="1">
        <f t="array" aca="1" ref="F12" ca="1">INDIRECT("RawData!"&amp;ADDRESS($C$5+$A12,F$6))</f>
        <v>5.9880000000000003E-2</v>
      </c>
      <c r="G12" s="1" cm="1">
        <f t="array" aca="1" ref="G12" ca="1">INDIRECT("RawData!"&amp;ADDRESS($C$5+$A12,G$6))</f>
        <v>6.9390000000000001</v>
      </c>
      <c r="H12" s="1" cm="1">
        <f t="array" aca="1" ref="H12" ca="1">INDIRECT("RawData!"&amp;ADDRESS($C$5+$A12,H$6))</f>
        <v>0.16857</v>
      </c>
      <c r="I12" s="1" cm="1">
        <f t="array" aca="1" ref="I12" ca="1">INDIRECT("RawData!"&amp;ADDRESS($C$5+$A12,I$6))</f>
        <v>2.665E-2</v>
      </c>
      <c r="J12" s="1" cm="1">
        <f t="array" aca="1" ref="J12" ca="1">INDIRECT("RawData!"&amp;ADDRESS($C$5+$A12,J$6))</f>
        <v>5.4139999999999997</v>
      </c>
      <c r="K12" s="1" cm="1">
        <f t="array" aca="1" ref="K12" ca="1">INDIRECT("RawData!"&amp;ADDRESS($C$5+$A12,K$6))</f>
        <v>2.3789999999999999E-2</v>
      </c>
      <c r="L12" s="1" cm="1">
        <f t="array" aca="1" ref="L12" ca="1">INDIRECT("RawData!"&amp;ADDRESS($C$5+$A12,L$6))</f>
        <v>3.7599999999999999E-3</v>
      </c>
      <c r="M12" s="1" cm="1">
        <f t="array" aca="1" ref="M12" ca="1">INDIRECT("RawData!"&amp;ADDRESS($C$5+$A12,M$6))</f>
        <v>5.3959999999999999</v>
      </c>
      <c r="N12" s="1" cm="1">
        <f t="array" aca="1" ref="N12" ca="1">INDIRECT("RawData!"&amp;ADDRESS($C$5+$A12,N$6))</f>
        <v>1.8870000000000001E-2</v>
      </c>
      <c r="O12" s="1" cm="1">
        <f t="array" aca="1" ref="O12" ca="1">INDIRECT("RawData!"&amp;ADDRESS($C$5+$A12,O$6))</f>
        <v>2.98E-3</v>
      </c>
      <c r="P12" s="1" cm="1">
        <f t="array" aca="1" ref="P12" ca="1">INDIRECT("RawData!"&amp;ADDRESS($C$5+$A12,P$6))</f>
        <v>12.081</v>
      </c>
      <c r="Q12" s="1" cm="1">
        <f t="array" aca="1" ref="Q12" ca="1">INDIRECT("RawData!"&amp;ADDRESS($C$5+$A12,Q$6))</f>
        <v>0.57694999999999996</v>
      </c>
      <c r="R12" s="1" cm="1">
        <f t="array" aca="1" ref="R12" ca="1">INDIRECT("RawData!"&amp;ADDRESS($C$5+$A12,R$6))</f>
        <v>9.1219999999999996E-2</v>
      </c>
      <c r="S12" s="1" cm="1">
        <f t="array" aca="1" ref="S12" ca="1">INDIRECT("RawData!"&amp;ADDRESS($C$5+$A12,S$6))</f>
        <v>11.189</v>
      </c>
      <c r="T12" s="1" cm="1">
        <f t="array" aca="1" ref="T12" ca="1">INDIRECT("RawData!"&amp;ADDRESS($C$5+$A12,T$6))</f>
        <v>0.76597000000000004</v>
      </c>
      <c r="U12" s="1" cm="1">
        <f t="array" aca="1" ref="U12" ca="1">INDIRECT("RawData!"&amp;ADDRESS($C$5+$A12,U$6))</f>
        <v>0.12111</v>
      </c>
      <c r="V12" s="1" cm="1">
        <f t="array" aca="1" ref="V12" ca="1">INDIRECT("RawData!"&amp;ADDRESS($C$5+$A12,V$6))</f>
        <v>6.5449999999999999</v>
      </c>
      <c r="W12" s="1" cm="1">
        <f t="array" aca="1" ref="W12" ca="1">INDIRECT("RawData!"&amp;ADDRESS($C$5+$A12,W$6))</f>
        <v>4.7329999999999997E-2</v>
      </c>
      <c r="X12" s="1" cm="1">
        <f t="array" aca="1" ref="X12" ca="1">INDIRECT("RawData!"&amp;ADDRESS($C$5+$A12,X$6))</f>
        <v>7.4799999999999997E-3</v>
      </c>
      <c r="Y12" s="1" cm="1">
        <f t="array" aca="1" ref="Y12" ca="1">INDIRECT("RawData!"&amp;ADDRESS($C$5+$A12,Y$6))</f>
        <v>6.55</v>
      </c>
      <c r="Z12" s="1" cm="1">
        <f t="array" aca="1" ref="Z12" ca="1">INDIRECT("RawData!"&amp;ADDRESS($C$5+$A12,Z$6))</f>
        <v>4.1799999999999997E-2</v>
      </c>
      <c r="AA12" s="1" cm="1">
        <f t="array" aca="1" ref="AA12" ca="1">INDIRECT("RawData!"&amp;ADDRESS($C$5+$A12,AA$6))</f>
        <v>6.6100000000000004E-3</v>
      </c>
    </row>
    <row r="13" spans="1:29" x14ac:dyDescent="0.3">
      <c r="A13" s="1">
        <v>2</v>
      </c>
      <c r="C13" s="1" t="str" cm="1">
        <f t="array" aca="1" ref="C13" ca="1">INDIRECT("RawData!A"&amp;TEXT(C$5+A13,"0"))</f>
        <v>Test6/ifx.x</v>
      </c>
      <c r="D13" s="1" cm="1">
        <f t="array" aca="1" ref="D13" ca="1">INDIRECT("RawData!"&amp;ADDRESS($C$5+$A13,D$6))</f>
        <v>6.5</v>
      </c>
      <c r="E13" s="1" cm="1">
        <f t="array" aca="1" ref="E13" ca="1">INDIRECT("RawData!"&amp;ADDRESS($C$5+$A13,E$6))</f>
        <v>1.2195</v>
      </c>
      <c r="F13" s="1" cm="1">
        <f t="array" aca="1" ref="F13" ca="1">INDIRECT("RawData!"&amp;ADDRESS($C$5+$A13,F$6))</f>
        <v>0.19281999999999999</v>
      </c>
      <c r="G13" s="1" cm="1">
        <f t="array" aca="1" ref="G13" ca="1">INDIRECT("RawData!"&amp;ADDRESS($C$5+$A13,G$6))</f>
        <v>3.9249999999999998</v>
      </c>
      <c r="H13" s="1" cm="1">
        <f t="array" aca="1" ref="H13" ca="1">INDIRECT("RawData!"&amp;ADDRESS($C$5+$A13,H$6))</f>
        <v>0.97106000000000003</v>
      </c>
      <c r="I13" s="1" cm="1">
        <f t="array" aca="1" ref="I13" ca="1">INDIRECT("RawData!"&amp;ADDRESS($C$5+$A13,I$6))</f>
        <v>0.15354000000000001</v>
      </c>
      <c r="J13" s="1" cm="1">
        <f t="array" aca="1" ref="J13" ca="1">INDIRECT("RawData!"&amp;ADDRESS($C$5+$A13,J$6))</f>
        <v>5.4109999999999996</v>
      </c>
      <c r="K13" s="1" cm="1">
        <f t="array" aca="1" ref="K13" ca="1">INDIRECT("RawData!"&amp;ADDRESS($C$5+$A13,K$6))</f>
        <v>2.9579999999999999E-2</v>
      </c>
      <c r="L13" s="1" cm="1">
        <f t="array" aca="1" ref="L13" ca="1">INDIRECT("RawData!"&amp;ADDRESS($C$5+$A13,L$6))</f>
        <v>4.6800000000000001E-3</v>
      </c>
      <c r="M13" s="1" cm="1">
        <f t="array" aca="1" ref="M13" ca="1">INDIRECT("RawData!"&amp;ADDRESS($C$5+$A13,M$6))</f>
        <v>1.982</v>
      </c>
      <c r="N13" s="1" cm="1">
        <f t="array" aca="1" ref="N13" ca="1">INDIRECT("RawData!"&amp;ADDRESS($C$5+$A13,N$6))</f>
        <v>0.10288</v>
      </c>
      <c r="O13" s="1" cm="1">
        <f t="array" aca="1" ref="O13" ca="1">INDIRECT("RawData!"&amp;ADDRESS($C$5+$A13,O$6))</f>
        <v>1.627E-2</v>
      </c>
      <c r="P13" s="1" cm="1">
        <f t="array" aca="1" ref="P13" ca="1">INDIRECT("RawData!"&amp;ADDRESS($C$5+$A13,P$6))</f>
        <v>0</v>
      </c>
      <c r="Q13" s="1" cm="1">
        <f t="array" aca="1" ref="Q13" ca="1">INDIRECT("RawData!"&amp;ADDRESS($C$5+$A13,Q$6))</f>
        <v>0</v>
      </c>
      <c r="R13" s="1" cm="1">
        <f t="array" aca="1" ref="R13" ca="1">INDIRECT("RawData!"&amp;ADDRESS($C$5+$A13,R$6))</f>
        <v>0</v>
      </c>
      <c r="S13" s="1" cm="1">
        <f t="array" aca="1" ref="S13" ca="1">INDIRECT("RawData!"&amp;ADDRESS($C$5+$A13,S$6))</f>
        <v>0</v>
      </c>
      <c r="T13" s="1" cm="1">
        <f t="array" aca="1" ref="T13" ca="1">INDIRECT("RawData!"&amp;ADDRESS($C$5+$A13,T$6))</f>
        <v>0</v>
      </c>
      <c r="U13" s="1" cm="1">
        <f t="array" aca="1" ref="U13" ca="1">INDIRECT("RawData!"&amp;ADDRESS($C$5+$A13,U$6))</f>
        <v>0</v>
      </c>
      <c r="V13" s="1" cm="1">
        <f t="array" aca="1" ref="V13" ca="1">INDIRECT("RawData!"&amp;ADDRESS($C$5+$A13,V$6))</f>
        <v>6.5259999999999998</v>
      </c>
      <c r="W13" s="1" cm="1">
        <f t="array" aca="1" ref="W13" ca="1">INDIRECT("RawData!"&amp;ADDRESS($C$5+$A13,W$6))</f>
        <v>4.6469999999999997E-2</v>
      </c>
      <c r="X13" s="1" cm="1">
        <f t="array" aca="1" ref="X13" ca="1">INDIRECT("RawData!"&amp;ADDRESS($C$5+$A13,X$6))</f>
        <v>7.3499999999999998E-3</v>
      </c>
      <c r="Y13" s="1" cm="1">
        <f t="array" aca="1" ref="Y13" ca="1">INDIRECT("RawData!"&amp;ADDRESS($C$5+$A13,Y$6))</f>
        <v>4.6230000000000002</v>
      </c>
      <c r="Z13" s="1" cm="1">
        <f t="array" aca="1" ref="Z13" ca="1">INDIRECT("RawData!"&amp;ADDRESS($C$5+$A13,Z$6))</f>
        <v>5.9040000000000002E-2</v>
      </c>
      <c r="AA13" s="1" cm="1">
        <f t="array" aca="1" ref="AA13" ca="1">INDIRECT("RawData!"&amp;ADDRESS($C$5+$A13,AA$6))</f>
        <v>9.3399999999999993E-3</v>
      </c>
    </row>
    <row r="14" spans="1:29" x14ac:dyDescent="0.3">
      <c r="A14" s="1">
        <v>3</v>
      </c>
      <c r="C14" s="1" t="str" cm="1">
        <f t="array" aca="1" ref="C14" ca="1">INDIRECT("RawData!A"&amp;TEXT(C$5+A14,"0"))</f>
        <v>Test6/ifx_o3.x</v>
      </c>
      <c r="D14" s="1" cm="1">
        <f t="array" aca="1" ref="D14" ca="1">INDIRECT("RawData!"&amp;ADDRESS($C$5+$A14,D$6))</f>
        <v>5.9749999999999996</v>
      </c>
      <c r="E14" s="1" cm="1">
        <f t="array" aca="1" ref="E14" ca="1">INDIRECT("RawData!"&amp;ADDRESS($C$5+$A14,E$6))</f>
        <v>1.8465100000000001</v>
      </c>
      <c r="F14" s="1" cm="1">
        <f t="array" aca="1" ref="F14" ca="1">INDIRECT("RawData!"&amp;ADDRESS($C$5+$A14,F$6))</f>
        <v>0.29196</v>
      </c>
      <c r="G14" s="1" cm="1">
        <f t="array" aca="1" ref="G14" ca="1">INDIRECT("RawData!"&amp;ADDRESS($C$5+$A14,G$6))</f>
        <v>4.45</v>
      </c>
      <c r="H14" s="1" cm="1">
        <f t="array" aca="1" ref="H14" ca="1">INDIRECT("RawData!"&amp;ADDRESS($C$5+$A14,H$6))</f>
        <v>1.8109299999999999</v>
      </c>
      <c r="I14" s="1" cm="1">
        <f t="array" aca="1" ref="I14" ca="1">INDIRECT("RawData!"&amp;ADDRESS($C$5+$A14,I$6))</f>
        <v>0.28632999999999997</v>
      </c>
      <c r="J14" s="1" cm="1">
        <f t="array" aca="1" ref="J14" ca="1">INDIRECT("RawData!"&amp;ADDRESS($C$5+$A14,J$6))</f>
        <v>5.4089999999999998</v>
      </c>
      <c r="K14" s="1" cm="1">
        <f t="array" aca="1" ref="K14" ca="1">INDIRECT("RawData!"&amp;ADDRESS($C$5+$A14,K$6))</f>
        <v>2.1690000000000001E-2</v>
      </c>
      <c r="L14" s="1" cm="1">
        <f t="array" aca="1" ref="L14" ca="1">INDIRECT("RawData!"&amp;ADDRESS($C$5+$A14,L$6))</f>
        <v>3.4299999999999999E-3</v>
      </c>
      <c r="M14" s="1" cm="1">
        <f t="array" aca="1" ref="M14" ca="1">INDIRECT("RawData!"&amp;ADDRESS($C$5+$A14,M$6))</f>
        <v>1.9990000000000001</v>
      </c>
      <c r="N14" s="1" cm="1">
        <f t="array" aca="1" ref="N14" ca="1">INDIRECT("RawData!"&amp;ADDRESS($C$5+$A14,N$6))</f>
        <v>7.9890000000000003E-2</v>
      </c>
      <c r="O14" s="1" cm="1">
        <f t="array" aca="1" ref="O14" ca="1">INDIRECT("RawData!"&amp;ADDRESS($C$5+$A14,O$6))</f>
        <v>1.2630000000000001E-2</v>
      </c>
      <c r="P14" s="1" cm="1">
        <f t="array" aca="1" ref="P14" ca="1">INDIRECT("RawData!"&amp;ADDRESS($C$5+$A14,P$6))</f>
        <v>0</v>
      </c>
      <c r="Q14" s="1" cm="1">
        <f t="array" aca="1" ref="Q14" ca="1">INDIRECT("RawData!"&amp;ADDRESS($C$5+$A14,Q$6))</f>
        <v>0</v>
      </c>
      <c r="R14" s="1" cm="1">
        <f t="array" aca="1" ref="R14" ca="1">INDIRECT("RawData!"&amp;ADDRESS($C$5+$A14,R$6))</f>
        <v>0</v>
      </c>
      <c r="S14" s="1" cm="1">
        <f t="array" aca="1" ref="S14" ca="1">INDIRECT("RawData!"&amp;ADDRESS($C$5+$A14,S$6))</f>
        <v>0</v>
      </c>
      <c r="T14" s="1" cm="1">
        <f t="array" aca="1" ref="T14" ca="1">INDIRECT("RawData!"&amp;ADDRESS($C$5+$A14,T$6))</f>
        <v>0</v>
      </c>
      <c r="U14" s="1" cm="1">
        <f t="array" aca="1" ref="U14" ca="1">INDIRECT("RawData!"&amp;ADDRESS($C$5+$A14,U$6))</f>
        <v>0</v>
      </c>
      <c r="V14" s="1" cm="1">
        <f t="array" aca="1" ref="V14" ca="1">INDIRECT("RawData!"&amp;ADDRESS($C$5+$A14,V$6))</f>
        <v>6.5389999999999997</v>
      </c>
      <c r="W14" s="1" cm="1">
        <f t="array" aca="1" ref="W14" ca="1">INDIRECT("RawData!"&amp;ADDRESS($C$5+$A14,W$6))</f>
        <v>4.8869999999999997E-2</v>
      </c>
      <c r="X14" s="1" cm="1">
        <f t="array" aca="1" ref="X14" ca="1">INDIRECT("RawData!"&amp;ADDRESS($C$5+$A14,X$6))</f>
        <v>7.7299999999999999E-3</v>
      </c>
      <c r="Y14" s="1" cm="1">
        <f t="array" aca="1" ref="Y14" ca="1">INDIRECT("RawData!"&amp;ADDRESS($C$5+$A14,Y$6))</f>
        <v>4.58</v>
      </c>
      <c r="Z14" s="1" cm="1">
        <f t="array" aca="1" ref="Z14" ca="1">INDIRECT("RawData!"&amp;ADDRESS($C$5+$A14,Z$6))</f>
        <v>5.4010000000000002E-2</v>
      </c>
      <c r="AA14" s="1" cm="1">
        <f t="array" aca="1" ref="AA14" ca="1">INDIRECT("RawData!"&amp;ADDRESS($C$5+$A14,AA$6))</f>
        <v>8.5400000000000007E-3</v>
      </c>
    </row>
    <row r="15" spans="1:29" x14ac:dyDescent="0.3">
      <c r="A15" s="1">
        <v>4</v>
      </c>
      <c r="C15" s="1" t="str" cm="1">
        <f t="array" aca="1" ref="C15" ca="1">INDIRECT("RawData!A"&amp;TEXT(C$5+A15,"0"))</f>
        <v>Test6/gpp.x</v>
      </c>
      <c r="D15" s="1" cm="1">
        <f t="array" aca="1" ref="D15" ca="1">INDIRECT("RawData!"&amp;ADDRESS($C$5+$A15,D$6))</f>
        <v>7.29</v>
      </c>
      <c r="E15" s="1" cm="1">
        <f t="array" aca="1" ref="E15" ca="1">INDIRECT("RawData!"&amp;ADDRESS($C$5+$A15,E$6))</f>
        <v>0.31143999999999999</v>
      </c>
      <c r="F15" s="1" cm="1">
        <f t="array" aca="1" ref="F15" ca="1">INDIRECT("RawData!"&amp;ADDRESS($C$5+$A15,F$6))</f>
        <v>4.9239999999999999E-2</v>
      </c>
      <c r="G15" s="1" cm="1">
        <f t="array" aca="1" ref="G15" ca="1">INDIRECT("RawData!"&amp;ADDRESS($C$5+$A15,G$6))</f>
        <v>7.2949999999999999</v>
      </c>
      <c r="H15" s="1" cm="1">
        <f t="array" aca="1" ref="H15" ca="1">INDIRECT("RawData!"&amp;ADDRESS($C$5+$A15,H$6))</f>
        <v>0.24725</v>
      </c>
      <c r="I15" s="1" cm="1">
        <f t="array" aca="1" ref="I15" ca="1">INDIRECT("RawData!"&amp;ADDRESS($C$5+$A15,I$6))</f>
        <v>3.909E-2</v>
      </c>
      <c r="J15" s="1" cm="1">
        <f t="array" aca="1" ref="J15" ca="1">INDIRECT("RawData!"&amp;ADDRESS($C$5+$A15,J$6))</f>
        <v>32.311999999999998</v>
      </c>
      <c r="K15" s="1" cm="1">
        <f t="array" aca="1" ref="K15" ca="1">INDIRECT("RawData!"&amp;ADDRESS($C$5+$A15,K$6))</f>
        <v>6.4380000000000007E-2</v>
      </c>
      <c r="L15" s="1" cm="1">
        <f t="array" aca="1" ref="L15" ca="1">INDIRECT("RawData!"&amp;ADDRESS($C$5+$A15,L$6))</f>
        <v>1.018E-2</v>
      </c>
      <c r="M15" s="1" cm="1">
        <f t="array" aca="1" ref="M15" ca="1">INDIRECT("RawData!"&amp;ADDRESS($C$5+$A15,M$6))</f>
        <v>26.922999999999998</v>
      </c>
      <c r="N15" s="1" cm="1">
        <f t="array" aca="1" ref="N15" ca="1">INDIRECT("RawData!"&amp;ADDRESS($C$5+$A15,N$6))</f>
        <v>6.4680000000000001E-2</v>
      </c>
      <c r="O15" s="1" cm="1">
        <f t="array" aca="1" ref="O15" ca="1">INDIRECT("RawData!"&amp;ADDRESS($C$5+$A15,O$6))</f>
        <v>1.023E-2</v>
      </c>
      <c r="P15" s="1" cm="1">
        <f t="array" aca="1" ref="P15" ca="1">INDIRECT("RawData!"&amp;ADDRESS($C$5+$A15,P$6))</f>
        <v>12.558999999999999</v>
      </c>
      <c r="Q15" s="1" cm="1">
        <f t="array" aca="1" ref="Q15" ca="1">INDIRECT("RawData!"&amp;ADDRESS($C$5+$A15,Q$6))</f>
        <v>0.64178000000000002</v>
      </c>
      <c r="R15" s="1" cm="1">
        <f t="array" aca="1" ref="R15" ca="1">INDIRECT("RawData!"&amp;ADDRESS($C$5+$A15,R$6))</f>
        <v>0.10147</v>
      </c>
      <c r="S15" s="1" cm="1">
        <f t="array" aca="1" ref="S15" ca="1">INDIRECT("RawData!"&amp;ADDRESS($C$5+$A15,S$6))</f>
        <v>11.326000000000001</v>
      </c>
      <c r="T15" s="1" cm="1">
        <f t="array" aca="1" ref="T15" ca="1">INDIRECT("RawData!"&amp;ADDRESS($C$5+$A15,T$6))</f>
        <v>0.82867000000000002</v>
      </c>
      <c r="U15" s="1" cm="1">
        <f t="array" aca="1" ref="U15" ca="1">INDIRECT("RawData!"&amp;ADDRESS($C$5+$A15,U$6))</f>
        <v>0.13102</v>
      </c>
      <c r="V15" s="1" cm="1">
        <f t="array" aca="1" ref="V15" ca="1">INDIRECT("RawData!"&amp;ADDRESS($C$5+$A15,V$6))</f>
        <v>18.78</v>
      </c>
      <c r="W15" s="1" cm="1">
        <f t="array" aca="1" ref="W15" ca="1">INDIRECT("RawData!"&amp;ADDRESS($C$5+$A15,W$6))</f>
        <v>9.3649999999999997E-2</v>
      </c>
      <c r="X15" s="1" cm="1">
        <f t="array" aca="1" ref="X15" ca="1">INDIRECT("RawData!"&amp;ADDRESS($C$5+$A15,X$6))</f>
        <v>1.481E-2</v>
      </c>
      <c r="Y15" s="1" cm="1">
        <f t="array" aca="1" ref="Y15" ca="1">INDIRECT("RawData!"&amp;ADDRESS($C$5+$A15,Y$6))</f>
        <v>18.716000000000001</v>
      </c>
      <c r="Z15" s="1" cm="1">
        <f t="array" aca="1" ref="Z15" ca="1">INDIRECT("RawData!"&amp;ADDRESS($C$5+$A15,Z$6))</f>
        <v>3.4200000000000001E-2</v>
      </c>
      <c r="AA15" s="1" cm="1">
        <f t="array" aca="1" ref="AA15" ca="1">INDIRECT("RawData!"&amp;ADDRESS($C$5+$A15,AA$6))</f>
        <v>5.4099999999999999E-3</v>
      </c>
    </row>
    <row r="16" spans="1:29" x14ac:dyDescent="0.3">
      <c r="A16" s="1">
        <v>5</v>
      </c>
      <c r="C16" s="1" t="str" cm="1">
        <f t="array" aca="1" ref="C16" ca="1">INDIRECT("RawData!A"&amp;TEXT(C$5+A16,"0"))</f>
        <v>Test6/gpp_o3.x</v>
      </c>
      <c r="D16" s="1" cm="1">
        <f t="array" aca="1" ref="D16" ca="1">INDIRECT("RawData!"&amp;ADDRESS($C$5+$A16,D$6))</f>
        <v>7.1879999999999997</v>
      </c>
      <c r="E16" s="1" cm="1">
        <f t="array" aca="1" ref="E16" ca="1">INDIRECT("RawData!"&amp;ADDRESS($C$5+$A16,E$6))</f>
        <v>0.25219999999999998</v>
      </c>
      <c r="F16" s="1" cm="1">
        <f t="array" aca="1" ref="F16" ca="1">INDIRECT("RawData!"&amp;ADDRESS($C$5+$A16,F$6))</f>
        <v>3.9879999999999999E-2</v>
      </c>
      <c r="G16" s="1" cm="1">
        <f t="array" aca="1" ref="G16" ca="1">INDIRECT("RawData!"&amp;ADDRESS($C$5+$A16,G$6))</f>
        <v>7.0119999999999996</v>
      </c>
      <c r="H16" s="1" cm="1">
        <f t="array" aca="1" ref="H16" ca="1">INDIRECT("RawData!"&amp;ADDRESS($C$5+$A16,H$6))</f>
        <v>0.19275999999999999</v>
      </c>
      <c r="I16" s="1" cm="1">
        <f t="array" aca="1" ref="I16" ca="1">INDIRECT("RawData!"&amp;ADDRESS($C$5+$A16,I$6))</f>
        <v>3.048E-2</v>
      </c>
      <c r="J16" s="1" cm="1">
        <f t="array" aca="1" ref="J16" ca="1">INDIRECT("RawData!"&amp;ADDRESS($C$5+$A16,J$6))</f>
        <v>18.867000000000001</v>
      </c>
      <c r="K16" s="1" cm="1">
        <f t="array" aca="1" ref="K16" ca="1">INDIRECT("RawData!"&amp;ADDRESS($C$5+$A16,K$6))</f>
        <v>8.5169999999999996E-2</v>
      </c>
      <c r="L16" s="1" cm="1">
        <f t="array" aca="1" ref="L16" ca="1">INDIRECT("RawData!"&amp;ADDRESS($C$5+$A16,L$6))</f>
        <v>1.3469999999999999E-2</v>
      </c>
      <c r="M16" s="1" cm="1">
        <f t="array" aca="1" ref="M16" ca="1">INDIRECT("RawData!"&amp;ADDRESS($C$5+$A16,M$6))</f>
        <v>8.0839999999999996</v>
      </c>
      <c r="N16" s="1" cm="1">
        <f t="array" aca="1" ref="N16" ca="1">INDIRECT("RawData!"&amp;ADDRESS($C$5+$A16,N$6))</f>
        <v>1.396E-2</v>
      </c>
      <c r="O16" s="1" cm="1">
        <f t="array" aca="1" ref="O16" ca="1">INDIRECT("RawData!"&amp;ADDRESS($C$5+$A16,O$6))</f>
        <v>2.2100000000000002E-3</v>
      </c>
      <c r="P16" s="1" cm="1">
        <f t="array" aca="1" ref="P16" ca="1">INDIRECT("RawData!"&amp;ADDRESS($C$5+$A16,P$6))</f>
        <v>12.488</v>
      </c>
      <c r="Q16" s="1" cm="1">
        <f t="array" aca="1" ref="Q16" ca="1">INDIRECT("RawData!"&amp;ADDRESS($C$5+$A16,Q$6))</f>
        <v>0.66059999999999997</v>
      </c>
      <c r="R16" s="1" cm="1">
        <f t="array" aca="1" ref="R16" ca="1">INDIRECT("RawData!"&amp;ADDRESS($C$5+$A16,R$6))</f>
        <v>0.10445</v>
      </c>
      <c r="S16" s="1" cm="1">
        <f t="array" aca="1" ref="S16" ca="1">INDIRECT("RawData!"&amp;ADDRESS($C$5+$A16,S$6))</f>
        <v>11.988</v>
      </c>
      <c r="T16" s="1" cm="1">
        <f t="array" aca="1" ref="T16" ca="1">INDIRECT("RawData!"&amp;ADDRESS($C$5+$A16,T$6))</f>
        <v>0.86763999999999997</v>
      </c>
      <c r="U16" s="1" cm="1">
        <f t="array" aca="1" ref="U16" ca="1">INDIRECT("RawData!"&amp;ADDRESS($C$5+$A16,U$6))</f>
        <v>0.13719000000000001</v>
      </c>
      <c r="V16" s="1" cm="1">
        <f t="array" aca="1" ref="V16" ca="1">INDIRECT("RawData!"&amp;ADDRESS($C$5+$A16,V$6))</f>
        <v>12.465</v>
      </c>
      <c r="W16" s="1" cm="1">
        <f t="array" aca="1" ref="W16" ca="1">INDIRECT("RawData!"&amp;ADDRESS($C$5+$A16,W$6))</f>
        <v>7.8640000000000002E-2</v>
      </c>
      <c r="X16" s="1" cm="1">
        <f t="array" aca="1" ref="X16" ca="1">INDIRECT("RawData!"&amp;ADDRESS($C$5+$A16,X$6))</f>
        <v>1.243E-2</v>
      </c>
      <c r="Y16" s="1" cm="1">
        <f t="array" aca="1" ref="Y16" ca="1">INDIRECT("RawData!"&amp;ADDRESS($C$5+$A16,Y$6))</f>
        <v>9.6170000000000009</v>
      </c>
      <c r="Z16" s="1" cm="1">
        <f t="array" aca="1" ref="Z16" ca="1">INDIRECT("RawData!"&amp;ADDRESS($C$5+$A16,Z$6))</f>
        <v>4.6249999999999999E-2</v>
      </c>
      <c r="AA16" s="1" cm="1">
        <f t="array" aca="1" ref="AA16" ca="1">INDIRECT("RawData!"&amp;ADDRESS($C$5+$A16,AA$6))</f>
        <v>7.3099999999999997E-3</v>
      </c>
    </row>
    <row r="17" spans="1:27" x14ac:dyDescent="0.3">
      <c r="A17" s="1">
        <v>6</v>
      </c>
      <c r="C17" s="1" t="str" cm="1">
        <f t="array" aca="1" ref="C17" ca="1">INDIRECT("RawData!A"&amp;TEXT(C$5+A17,"0"))</f>
        <v>Test6/icx.x</v>
      </c>
      <c r="D17" s="1" cm="1">
        <f t="array" aca="1" ref="D17" ca="1">INDIRECT("RawData!"&amp;ADDRESS($C$5+$A17,D$6))</f>
        <v>4.7409999999999997</v>
      </c>
      <c r="E17" s="1" cm="1">
        <f t="array" aca="1" ref="E17" ca="1">INDIRECT("RawData!"&amp;ADDRESS($C$5+$A17,E$6))</f>
        <v>0.53839000000000004</v>
      </c>
      <c r="F17" s="1" cm="1">
        <f t="array" aca="1" ref="F17" ca="1">INDIRECT("RawData!"&amp;ADDRESS($C$5+$A17,F$6))</f>
        <v>8.5129999999999997E-2</v>
      </c>
      <c r="G17" s="1" cm="1">
        <f t="array" aca="1" ref="G17" ca="1">INDIRECT("RawData!"&amp;ADDRESS($C$5+$A17,G$6))</f>
        <v>4.1589999999999998</v>
      </c>
      <c r="H17" s="1" cm="1">
        <f t="array" aca="1" ref="H17" ca="1">INDIRECT("RawData!"&amp;ADDRESS($C$5+$A17,H$6))</f>
        <v>0.29491000000000001</v>
      </c>
      <c r="I17" s="1" cm="1">
        <f t="array" aca="1" ref="I17" ca="1">INDIRECT("RawData!"&amp;ADDRESS($C$5+$A17,I$6))</f>
        <v>4.6629999999999998E-2</v>
      </c>
      <c r="J17" s="1" cm="1">
        <f t="array" aca="1" ref="J17" ca="1">INDIRECT("RawData!"&amp;ADDRESS($C$5+$A17,J$6))</f>
        <v>1.901</v>
      </c>
      <c r="K17" s="1" cm="1">
        <f t="array" aca="1" ref="K17" ca="1">INDIRECT("RawData!"&amp;ADDRESS($C$5+$A17,K$6))</f>
        <v>0.10106</v>
      </c>
      <c r="L17" s="1" cm="1">
        <f t="array" aca="1" ref="L17" ca="1">INDIRECT("RawData!"&amp;ADDRESS($C$5+$A17,L$6))</f>
        <v>1.5980000000000001E-2</v>
      </c>
      <c r="M17" s="1" cm="1">
        <f t="array" aca="1" ref="M17" ca="1">INDIRECT("RawData!"&amp;ADDRESS($C$5+$A17,M$6))</f>
        <v>1.877</v>
      </c>
      <c r="N17" s="1" cm="1">
        <f t="array" aca="1" ref="N17" ca="1">INDIRECT("RawData!"&amp;ADDRESS($C$5+$A17,N$6))</f>
        <v>0.15656</v>
      </c>
      <c r="O17" s="1" cm="1">
        <f t="array" aca="1" ref="O17" ca="1">INDIRECT("RawData!"&amp;ADDRESS($C$5+$A17,O$6))</f>
        <v>2.4750000000000001E-2</v>
      </c>
      <c r="P17" s="1" cm="1">
        <f t="array" aca="1" ref="P17" ca="1">INDIRECT("RawData!"&amp;ADDRESS($C$5+$A17,P$6))</f>
        <v>0</v>
      </c>
      <c r="Q17" s="1" cm="1">
        <f t="array" aca="1" ref="Q17" ca="1">INDIRECT("RawData!"&amp;ADDRESS($C$5+$A17,Q$6))</f>
        <v>0</v>
      </c>
      <c r="R17" s="1" cm="1">
        <f t="array" aca="1" ref="R17" ca="1">INDIRECT("RawData!"&amp;ADDRESS($C$5+$A17,R$6))</f>
        <v>0</v>
      </c>
      <c r="S17" s="1" cm="1">
        <f t="array" aca="1" ref="S17" ca="1">INDIRECT("RawData!"&amp;ADDRESS($C$5+$A17,S$6))</f>
        <v>0</v>
      </c>
      <c r="T17" s="1" cm="1">
        <f t="array" aca="1" ref="T17" ca="1">INDIRECT("RawData!"&amp;ADDRESS($C$5+$A17,T$6))</f>
        <v>0</v>
      </c>
      <c r="U17" s="1" cm="1">
        <f t="array" aca="1" ref="U17" ca="1">INDIRECT("RawData!"&amp;ADDRESS($C$5+$A17,U$6))</f>
        <v>0</v>
      </c>
      <c r="V17" s="1" cm="1">
        <f t="array" aca="1" ref="V17" ca="1">INDIRECT("RawData!"&amp;ADDRESS($C$5+$A17,V$6))</f>
        <v>5.3250000000000002</v>
      </c>
      <c r="W17" s="1" cm="1">
        <f t="array" aca="1" ref="W17" ca="1">INDIRECT("RawData!"&amp;ADDRESS($C$5+$A17,W$6))</f>
        <v>0.22961999999999999</v>
      </c>
      <c r="X17" s="1" cm="1">
        <f t="array" aca="1" ref="X17" ca="1">INDIRECT("RawData!"&amp;ADDRESS($C$5+$A17,X$6))</f>
        <v>3.6310000000000002E-2</v>
      </c>
      <c r="Y17" s="1" cm="1">
        <f t="array" aca="1" ref="Y17" ca="1">INDIRECT("RawData!"&amp;ADDRESS($C$5+$A17,Y$6))</f>
        <v>4.6390000000000002</v>
      </c>
      <c r="Z17" s="1" cm="1">
        <f t="array" aca="1" ref="Z17" ca="1">INDIRECT("RawData!"&amp;ADDRESS($C$5+$A17,Z$6))</f>
        <v>5.3190000000000001E-2</v>
      </c>
      <c r="AA17" s="1" cm="1">
        <f t="array" aca="1" ref="AA17" ca="1">INDIRECT("RawData!"&amp;ADDRESS($C$5+$A17,AA$6))</f>
        <v>8.4100000000000008E-3</v>
      </c>
    </row>
    <row r="18" spans="1:27" x14ac:dyDescent="0.3">
      <c r="A18" s="1">
        <v>7</v>
      </c>
      <c r="C18" s="1" t="str" cm="1">
        <f t="array" aca="1" ref="C18" ca="1">INDIRECT("RawData!A"&amp;TEXT(C$5+A18,"0"))</f>
        <v>Test6/icx_o3.x</v>
      </c>
      <c r="D18" s="1" cm="1">
        <f t="array" aca="1" ref="D18" ca="1">INDIRECT("RawData!"&amp;ADDRESS($C$5+$A18,D$6))</f>
        <v>4.6420000000000003</v>
      </c>
      <c r="E18" s="1" cm="1">
        <f t="array" aca="1" ref="E18" ca="1">INDIRECT("RawData!"&amp;ADDRESS($C$5+$A18,E$6))</f>
        <v>0.48000999999999999</v>
      </c>
      <c r="F18" s="1" cm="1">
        <f t="array" aca="1" ref="F18" ca="1">INDIRECT("RawData!"&amp;ADDRESS($C$5+$A18,F$6))</f>
        <v>7.5899999999999995E-2</v>
      </c>
      <c r="G18" s="1" cm="1">
        <f t="array" aca="1" ref="G18" ca="1">INDIRECT("RawData!"&amp;ADDRESS($C$5+$A18,G$6))</f>
        <v>4.1079999999999997</v>
      </c>
      <c r="H18" s="1" cm="1">
        <f t="array" aca="1" ref="H18" ca="1">INDIRECT("RawData!"&amp;ADDRESS($C$5+$A18,H$6))</f>
        <v>0.33788000000000001</v>
      </c>
      <c r="I18" s="1" cm="1">
        <f t="array" aca="1" ref="I18" ca="1">INDIRECT("RawData!"&amp;ADDRESS($C$5+$A18,I$6))</f>
        <v>5.3420000000000002E-2</v>
      </c>
      <c r="J18" s="1" cm="1">
        <f t="array" aca="1" ref="J18" ca="1">INDIRECT("RawData!"&amp;ADDRESS($C$5+$A18,J$6))</f>
        <v>1.8979999999999999</v>
      </c>
      <c r="K18" s="1" cm="1">
        <f t="array" aca="1" ref="K18" ca="1">INDIRECT("RawData!"&amp;ADDRESS($C$5+$A18,K$6))</f>
        <v>0.12489</v>
      </c>
      <c r="L18" s="1" cm="1">
        <f t="array" aca="1" ref="L18" ca="1">INDIRECT("RawData!"&amp;ADDRESS($C$5+$A18,L$6))</f>
        <v>1.975E-2</v>
      </c>
      <c r="M18" s="1" cm="1">
        <f t="array" aca="1" ref="M18" ca="1">INDIRECT("RawData!"&amp;ADDRESS($C$5+$A18,M$6))</f>
        <v>1.877</v>
      </c>
      <c r="N18" s="1" cm="1">
        <f t="array" aca="1" ref="N18" ca="1">INDIRECT("RawData!"&amp;ADDRESS($C$5+$A18,N$6))</f>
        <v>0.16195000000000001</v>
      </c>
      <c r="O18" s="1" cm="1">
        <f t="array" aca="1" ref="O18" ca="1">INDIRECT("RawData!"&amp;ADDRESS($C$5+$A18,O$6))</f>
        <v>2.5610000000000001E-2</v>
      </c>
      <c r="P18" s="1" cm="1">
        <f t="array" aca="1" ref="P18" ca="1">INDIRECT("RawData!"&amp;ADDRESS($C$5+$A18,P$6))</f>
        <v>0</v>
      </c>
      <c r="Q18" s="1" cm="1">
        <f t="array" aca="1" ref="Q18" ca="1">INDIRECT("RawData!"&amp;ADDRESS($C$5+$A18,Q$6))</f>
        <v>0</v>
      </c>
      <c r="R18" s="1" cm="1">
        <f t="array" aca="1" ref="R18" ca="1">INDIRECT("RawData!"&amp;ADDRESS($C$5+$A18,R$6))</f>
        <v>0</v>
      </c>
      <c r="S18" s="1" cm="1">
        <f t="array" aca="1" ref="S18" ca="1">INDIRECT("RawData!"&amp;ADDRESS($C$5+$A18,S$6))</f>
        <v>0</v>
      </c>
      <c r="T18" s="1" cm="1">
        <f t="array" aca="1" ref="T18" ca="1">INDIRECT("RawData!"&amp;ADDRESS($C$5+$A18,T$6))</f>
        <v>0</v>
      </c>
      <c r="U18" s="1" cm="1">
        <f t="array" aca="1" ref="U18" ca="1">INDIRECT("RawData!"&amp;ADDRESS($C$5+$A18,U$6))</f>
        <v>0</v>
      </c>
      <c r="V18" s="1" cm="1">
        <f t="array" aca="1" ref="V18" ca="1">INDIRECT("RawData!"&amp;ADDRESS($C$5+$A18,V$6))</f>
        <v>5.3390000000000004</v>
      </c>
      <c r="W18" s="1" cm="1">
        <f t="array" aca="1" ref="W18" ca="1">INDIRECT("RawData!"&amp;ADDRESS($C$5+$A18,W$6))</f>
        <v>0.20594000000000001</v>
      </c>
      <c r="X18" s="1" cm="1">
        <f t="array" aca="1" ref="X18" ca="1">INDIRECT("RawData!"&amp;ADDRESS($C$5+$A18,X$6))</f>
        <v>3.2559999999999999E-2</v>
      </c>
      <c r="Y18" s="1" cm="1">
        <f t="array" aca="1" ref="Y18" ca="1">INDIRECT("RawData!"&amp;ADDRESS($C$5+$A18,Y$6))</f>
        <v>4.6550000000000002</v>
      </c>
      <c r="Z18" s="1" cm="1">
        <f t="array" aca="1" ref="Z18" ca="1">INDIRECT("RawData!"&amp;ADDRESS($C$5+$A18,Z$6))</f>
        <v>7.886E-2</v>
      </c>
      <c r="AA18" s="1" cm="1">
        <f t="array" aca="1" ref="AA18" ca="1">INDIRECT("RawData!"&amp;ADDRESS($C$5+$A18,AA$6))</f>
        <v>1.247E-2</v>
      </c>
    </row>
    <row r="19" spans="1:27" x14ac:dyDescent="0.3">
      <c r="A19" s="1">
        <v>8</v>
      </c>
    </row>
    <row r="20" spans="1:27" x14ac:dyDescent="0.3">
      <c r="A20" s="1">
        <v>9</v>
      </c>
    </row>
    <row r="21" spans="1:27" x14ac:dyDescent="0.3">
      <c r="A21" s="1">
        <v>10</v>
      </c>
    </row>
    <row r="22" spans="1:27" x14ac:dyDescent="0.3">
      <c r="A22" s="1">
        <v>11</v>
      </c>
    </row>
    <row r="23" spans="1:27" x14ac:dyDescent="0.3">
      <c r="A23" s="1">
        <v>12</v>
      </c>
    </row>
    <row r="24" spans="1:27" x14ac:dyDescent="0.3">
      <c r="A24" s="1">
        <v>13</v>
      </c>
    </row>
    <row r="25" spans="1:27" x14ac:dyDescent="0.3">
      <c r="A25" s="1">
        <v>14</v>
      </c>
    </row>
    <row r="26" spans="1:27" x14ac:dyDescent="0.3">
      <c r="A26" s="1">
        <v>15</v>
      </c>
    </row>
    <row r="27" spans="1:27" x14ac:dyDescent="0.3">
      <c r="A27" s="1">
        <v>16</v>
      </c>
    </row>
    <row r="28" spans="1:27" x14ac:dyDescent="0.3">
      <c r="A28" s="1">
        <v>17</v>
      </c>
    </row>
    <row r="29" spans="1:27" x14ac:dyDescent="0.3">
      <c r="A29" s="1">
        <v>18</v>
      </c>
    </row>
    <row r="30" spans="1:27" x14ac:dyDescent="0.3">
      <c r="A30" s="1">
        <v>19</v>
      </c>
    </row>
    <row r="31" spans="1:27" x14ac:dyDescent="0.3">
      <c r="A31" s="1">
        <v>20</v>
      </c>
    </row>
    <row r="32" spans="1:27" x14ac:dyDescent="0.3">
      <c r="A32" s="1">
        <v>21</v>
      </c>
    </row>
    <row r="33" spans="1:27" x14ac:dyDescent="0.3">
      <c r="A33" s="1">
        <v>22</v>
      </c>
    </row>
    <row r="34" spans="1:27" x14ac:dyDescent="0.3">
      <c r="A34" s="1">
        <v>23</v>
      </c>
    </row>
    <row r="35" spans="1:27" x14ac:dyDescent="0.3">
      <c r="A35" s="1">
        <v>24</v>
      </c>
    </row>
    <row r="36" spans="1:27" x14ac:dyDescent="0.3">
      <c r="A36" s="1">
        <v>1</v>
      </c>
      <c r="B36" s="1">
        <v>2</v>
      </c>
      <c r="C36" s="1">
        <v>3</v>
      </c>
      <c r="D36" s="1">
        <v>4</v>
      </c>
      <c r="E36" s="1">
        <v>5</v>
      </c>
      <c r="F36" s="1">
        <v>6</v>
      </c>
      <c r="G36" s="1">
        <v>7</v>
      </c>
      <c r="H36" s="1">
        <v>8</v>
      </c>
      <c r="I36" s="1">
        <v>9</v>
      </c>
      <c r="J36" s="1">
        <v>10</v>
      </c>
      <c r="K36" s="1">
        <v>11</v>
      </c>
      <c r="L36" s="1">
        <v>12</v>
      </c>
      <c r="M36" s="1">
        <v>13</v>
      </c>
      <c r="N36" s="1">
        <v>14</v>
      </c>
      <c r="O36" s="1">
        <v>15</v>
      </c>
      <c r="P36" s="1">
        <v>16</v>
      </c>
      <c r="Q36" s="1">
        <v>17</v>
      </c>
      <c r="R36" s="1">
        <v>18</v>
      </c>
      <c r="S36" s="1">
        <v>19</v>
      </c>
      <c r="T36" s="1">
        <v>20</v>
      </c>
      <c r="U36" s="1">
        <v>21</v>
      </c>
      <c r="V36" s="1">
        <v>22</v>
      </c>
      <c r="W36" s="1">
        <v>23</v>
      </c>
      <c r="X36" s="1">
        <v>24</v>
      </c>
      <c r="Y36" s="1">
        <v>25</v>
      </c>
      <c r="Z36" s="1">
        <v>26</v>
      </c>
      <c r="AA36" s="1">
        <v>27</v>
      </c>
    </row>
    <row r="37" spans="1:27" ht="100" x14ac:dyDescent="0.3">
      <c r="C37" s="4" t="s">
        <v>140</v>
      </c>
      <c r="D37" s="3" t="s">
        <v>137</v>
      </c>
      <c r="G37" s="3" t="s">
        <v>143</v>
      </c>
      <c r="J37" s="3" t="s">
        <v>138</v>
      </c>
      <c r="M37" s="3" t="s">
        <v>144</v>
      </c>
      <c r="P37" s="3" t="s">
        <v>139</v>
      </c>
      <c r="S37" s="3" t="s">
        <v>145</v>
      </c>
      <c r="V37" s="3" t="s">
        <v>147</v>
      </c>
      <c r="Y37" s="3" t="s">
        <v>146</v>
      </c>
    </row>
    <row r="38" spans="1:27" x14ac:dyDescent="0.3">
      <c r="A38" s="1">
        <v>0</v>
      </c>
      <c r="C38" s="1" t="str">
        <f ca="1">MID(C11,FIND("/",C11)+1,1000)</f>
        <v>gfortran.x</v>
      </c>
      <c r="D38" s="1">
        <f ca="1">D11</f>
        <v>7.1879999999999997</v>
      </c>
      <c r="E38" s="1">
        <f ca="1">IF(D11=0,0,E11*100/D11)</f>
        <v>5.7634947134112409</v>
      </c>
      <c r="F38" s="1">
        <f ca="1">IF(D11=0,0,F11*100/D11)</f>
        <v>0.911240957150807</v>
      </c>
      <c r="G38" s="1">
        <f t="shared" ref="G38:AA45" ca="1" si="0">G11</f>
        <v>7.07</v>
      </c>
      <c r="H38" s="1">
        <f t="shared" ref="H38:AA45" ca="1" si="1">IF(G11=0,0,H11*100/G11)</f>
        <v>3.0981612446958979</v>
      </c>
      <c r="I38" s="1">
        <f t="shared" ref="I38:I45" ca="1" si="2">IF(G11=0,0,I11*100/G11)</f>
        <v>0.48981612446958983</v>
      </c>
      <c r="J38" s="1">
        <f t="shared" ref="J38:AA38" ca="1" si="3">J11</f>
        <v>5.431</v>
      </c>
      <c r="K38" s="1">
        <f t="shared" ref="K38:AA38" ca="1" si="4">IF(J11=0,0,K11*100/J11)</f>
        <v>0.53912723255385742</v>
      </c>
      <c r="L38" s="1">
        <f t="shared" ref="L38:L45" ca="1" si="5">IF(J11=0,0,L11*100/J11)</f>
        <v>8.5251334929110648E-2</v>
      </c>
      <c r="M38" s="1">
        <f t="shared" ref="M38:AA38" ca="1" si="6">M11</f>
        <v>5.4020000000000001</v>
      </c>
      <c r="N38" s="1">
        <f t="shared" ref="N38:AA38" ca="1" si="7">IF(M11=0,0,N11*100/M11)</f>
        <v>0.29489078119215106</v>
      </c>
      <c r="O38" s="1">
        <f t="shared" ref="O38:O45" ca="1" si="8">IF(M11=0,0,O11*100/M11)</f>
        <v>4.6649389115142541E-2</v>
      </c>
      <c r="P38" s="1">
        <f t="shared" ref="P38:AA38" ca="1" si="9">P11</f>
        <v>12.013</v>
      </c>
      <c r="Q38" s="1">
        <f t="shared" ref="Q38:AA38" ca="1" si="10">IF(P11=0,0,Q11*100/P11)</f>
        <v>5.2302505618912845</v>
      </c>
      <c r="R38" s="1">
        <f t="shared" ref="R38:R45" ca="1" si="11">IF(P11=0,0,R11*100/P11)</f>
        <v>0.82693748439190873</v>
      </c>
      <c r="S38" s="1">
        <f t="shared" ref="S38:AA38" ca="1" si="12">S11</f>
        <v>11.055999999999999</v>
      </c>
      <c r="T38" s="1">
        <f t="shared" ref="T38:AA38" ca="1" si="13">IF(S11=0,0,T11*100/S11)</f>
        <v>8.1673299565846609</v>
      </c>
      <c r="U38" s="1">
        <f t="shared" ref="U38:U45" ca="1" si="14">IF(S11=0,0,U11*100/S11)</f>
        <v>1.2913350217076702</v>
      </c>
      <c r="V38" s="1">
        <f t="shared" ref="V38:AA38" ca="1" si="15">V11</f>
        <v>6.5670000000000002</v>
      </c>
      <c r="W38" s="1">
        <f t="shared" ref="W38:AA38" ca="1" si="16">IF(V11=0,0,W11*100/V11)</f>
        <v>0.67412821684178459</v>
      </c>
      <c r="X38" s="1">
        <f t="shared" ref="X38:X45" ca="1" si="17">IF(V11=0,0,X11*100/V11)</f>
        <v>0.10659357393025735</v>
      </c>
      <c r="Y38" s="1">
        <f t="shared" ref="Y38:AA38" ca="1" si="18">Y11</f>
        <v>6.57</v>
      </c>
      <c r="Z38" s="1">
        <f t="shared" ref="Z38:AA38" ca="1" si="19">IF(Y11=0,0,Z11*100/Y11)</f>
        <v>0.78173515981735153</v>
      </c>
      <c r="AA38" s="1">
        <f t="shared" ref="AA38:AA45" ca="1" si="20">IF(Y11=0,0,AA11*100/Y11)</f>
        <v>0.12359208523592086</v>
      </c>
    </row>
    <row r="39" spans="1:27" x14ac:dyDescent="0.3">
      <c r="A39" s="1">
        <v>1</v>
      </c>
      <c r="C39" s="1" t="str">
        <f t="shared" ref="C39:C45" ca="1" si="21">MID(C12,FIND("/",C12)+1,1000)</f>
        <v>gfortran_o3.x</v>
      </c>
      <c r="D39" s="1">
        <f t="shared" ref="D39:D45" ca="1" si="22">D12</f>
        <v>7.1520000000000001</v>
      </c>
      <c r="E39" s="1">
        <f t="shared" ref="E39:E45" ca="1" si="23">IF(D12=0,0,E12*100/D12)</f>
        <v>5.295162192393736</v>
      </c>
      <c r="F39" s="1">
        <f t="shared" ref="F39:F45" ca="1" si="24">IF(D12=0,0,F12*100/D12)</f>
        <v>0.8372483221476511</v>
      </c>
      <c r="G39" s="1">
        <f t="shared" ca="1" si="0"/>
        <v>6.9390000000000001</v>
      </c>
      <c r="H39" s="1">
        <f t="shared" ca="1" si="1"/>
        <v>2.4293125810635536</v>
      </c>
      <c r="I39" s="1">
        <f t="shared" ca="1" si="2"/>
        <v>0.38406110390546189</v>
      </c>
      <c r="J39" s="1">
        <f t="shared" ca="1" si="0"/>
        <v>5.4139999999999997</v>
      </c>
      <c r="K39" s="1">
        <f t="shared" ca="1" si="1"/>
        <v>0.43941632803841896</v>
      </c>
      <c r="L39" s="1">
        <f t="shared" ca="1" si="5"/>
        <v>6.9449575175470998E-2</v>
      </c>
      <c r="M39" s="1">
        <f t="shared" ca="1" si="0"/>
        <v>5.3959999999999999</v>
      </c>
      <c r="N39" s="1">
        <f t="shared" ca="1" si="1"/>
        <v>0.34970348406226842</v>
      </c>
      <c r="O39" s="1">
        <f t="shared" ca="1" si="8"/>
        <v>5.5226093402520382E-2</v>
      </c>
      <c r="P39" s="1">
        <f t="shared" ca="1" si="0"/>
        <v>12.081</v>
      </c>
      <c r="Q39" s="1">
        <f t="shared" ca="1" si="1"/>
        <v>4.7756808211240784</v>
      </c>
      <c r="R39" s="1">
        <f t="shared" ca="1" si="11"/>
        <v>0.75506994454101484</v>
      </c>
      <c r="S39" s="1">
        <f t="shared" ca="1" si="0"/>
        <v>11.189</v>
      </c>
      <c r="T39" s="1">
        <f t="shared" ca="1" si="1"/>
        <v>6.8457413531146667</v>
      </c>
      <c r="U39" s="1">
        <f t="shared" ca="1" si="14"/>
        <v>1.0824023594601839</v>
      </c>
      <c r="V39" s="1">
        <f t="shared" ca="1" si="0"/>
        <v>6.5449999999999999</v>
      </c>
      <c r="W39" s="1">
        <f t="shared" ca="1" si="1"/>
        <v>0.72314744079449955</v>
      </c>
      <c r="X39" s="1">
        <f t="shared" ca="1" si="17"/>
        <v>0.11428571428571428</v>
      </c>
      <c r="Y39" s="1">
        <f t="shared" ca="1" si="0"/>
        <v>6.55</v>
      </c>
      <c r="Z39" s="1">
        <f t="shared" ca="1" si="1"/>
        <v>0.63816793893129764</v>
      </c>
      <c r="AA39" s="1">
        <f t="shared" ca="1" si="20"/>
        <v>0.10091603053435115</v>
      </c>
    </row>
    <row r="40" spans="1:27" x14ac:dyDescent="0.3">
      <c r="A40" s="1">
        <v>2</v>
      </c>
      <c r="C40" s="1" t="str">
        <f t="shared" ca="1" si="21"/>
        <v>ifx.x</v>
      </c>
      <c r="D40" s="1">
        <f t="shared" ca="1" si="22"/>
        <v>6.5</v>
      </c>
      <c r="E40" s="1">
        <f t="shared" ca="1" si="23"/>
        <v>18.761538461538461</v>
      </c>
      <c r="F40" s="1">
        <f t="shared" ca="1" si="24"/>
        <v>2.9664615384615383</v>
      </c>
      <c r="G40" s="1">
        <f t="shared" ca="1" si="0"/>
        <v>3.9249999999999998</v>
      </c>
      <c r="H40" s="1">
        <f t="shared" ca="1" si="1"/>
        <v>24.740382165605098</v>
      </c>
      <c r="I40" s="1">
        <f t="shared" ca="1" si="2"/>
        <v>3.9118471337579623</v>
      </c>
      <c r="J40" s="1">
        <f t="shared" ca="1" si="0"/>
        <v>5.4109999999999996</v>
      </c>
      <c r="K40" s="1">
        <f t="shared" ca="1" si="1"/>
        <v>0.54666420255036041</v>
      </c>
      <c r="L40" s="1">
        <f t="shared" ca="1" si="5"/>
        <v>8.6490482350766965E-2</v>
      </c>
      <c r="M40" s="1">
        <f t="shared" ca="1" si="0"/>
        <v>1.982</v>
      </c>
      <c r="N40" s="1">
        <f t="shared" ca="1" si="1"/>
        <v>5.1907164480322905</v>
      </c>
      <c r="O40" s="1">
        <f t="shared" ca="1" si="8"/>
        <v>0.82088799192734607</v>
      </c>
      <c r="P40" s="1">
        <f t="shared" ca="1" si="0"/>
        <v>0</v>
      </c>
      <c r="Q40" s="1">
        <f t="shared" ca="1" si="1"/>
        <v>0</v>
      </c>
      <c r="R40" s="1">
        <f t="shared" ca="1" si="11"/>
        <v>0</v>
      </c>
      <c r="S40" s="1">
        <f t="shared" ca="1" si="0"/>
        <v>0</v>
      </c>
      <c r="T40" s="1">
        <f t="shared" ca="1" si="1"/>
        <v>0</v>
      </c>
      <c r="U40" s="1">
        <f t="shared" ca="1" si="14"/>
        <v>0</v>
      </c>
      <c r="V40" s="1">
        <f t="shared" ca="1" si="0"/>
        <v>6.5259999999999998</v>
      </c>
      <c r="W40" s="1">
        <f t="shared" ca="1" si="1"/>
        <v>0.71207477781182948</v>
      </c>
      <c r="X40" s="1">
        <f t="shared" ca="1" si="17"/>
        <v>0.1126264174072939</v>
      </c>
      <c r="Y40" s="1">
        <f t="shared" ca="1" si="0"/>
        <v>4.6230000000000002</v>
      </c>
      <c r="Z40" s="1">
        <f t="shared" ca="1" si="1"/>
        <v>1.2770927968851395</v>
      </c>
      <c r="AA40" s="1">
        <f t="shared" ca="1" si="20"/>
        <v>0.20203331170235775</v>
      </c>
    </row>
    <row r="41" spans="1:27" x14ac:dyDescent="0.3">
      <c r="A41" s="1">
        <v>3</v>
      </c>
      <c r="C41" s="1" t="str">
        <f t="shared" ca="1" si="21"/>
        <v>ifx_o3.x</v>
      </c>
      <c r="D41" s="1">
        <f t="shared" ca="1" si="22"/>
        <v>5.9749999999999996</v>
      </c>
      <c r="E41" s="1">
        <f t="shared" ca="1" si="23"/>
        <v>30.90393305439331</v>
      </c>
      <c r="F41" s="1">
        <f t="shared" ca="1" si="24"/>
        <v>4.8863598326359829</v>
      </c>
      <c r="G41" s="1">
        <f t="shared" ca="1" si="0"/>
        <v>4.45</v>
      </c>
      <c r="H41" s="1">
        <f t="shared" ca="1" si="1"/>
        <v>40.695056179775278</v>
      </c>
      <c r="I41" s="1">
        <f t="shared" ca="1" si="2"/>
        <v>6.434382022471909</v>
      </c>
      <c r="J41" s="1">
        <f t="shared" ca="1" si="0"/>
        <v>5.4089999999999998</v>
      </c>
      <c r="K41" s="1">
        <f t="shared" ca="1" si="1"/>
        <v>0.40099833610648922</v>
      </c>
      <c r="L41" s="1">
        <f t="shared" ca="1" si="5"/>
        <v>6.3412830467738948E-2</v>
      </c>
      <c r="M41" s="1">
        <f t="shared" ca="1" si="0"/>
        <v>1.9990000000000001</v>
      </c>
      <c r="N41" s="1">
        <f t="shared" ca="1" si="1"/>
        <v>3.9964982491245622</v>
      </c>
      <c r="O41" s="1">
        <f t="shared" ca="1" si="8"/>
        <v>0.63181590795397702</v>
      </c>
      <c r="P41" s="1">
        <f t="shared" ca="1" si="0"/>
        <v>0</v>
      </c>
      <c r="Q41" s="1">
        <f t="shared" ca="1" si="1"/>
        <v>0</v>
      </c>
      <c r="R41" s="1">
        <f t="shared" ca="1" si="11"/>
        <v>0</v>
      </c>
      <c r="S41" s="1">
        <f t="shared" ca="1" si="0"/>
        <v>0</v>
      </c>
      <c r="T41" s="1">
        <f t="shared" ca="1" si="1"/>
        <v>0</v>
      </c>
      <c r="U41" s="1">
        <f t="shared" ca="1" si="14"/>
        <v>0</v>
      </c>
      <c r="V41" s="1">
        <f t="shared" ca="1" si="0"/>
        <v>6.5389999999999997</v>
      </c>
      <c r="W41" s="1">
        <f t="shared" ca="1" si="1"/>
        <v>0.74736198195442727</v>
      </c>
      <c r="X41" s="1">
        <f t="shared" ca="1" si="17"/>
        <v>0.11821379415812816</v>
      </c>
      <c r="Y41" s="1">
        <f t="shared" ca="1" si="0"/>
        <v>4.58</v>
      </c>
      <c r="Z41" s="1">
        <f t="shared" ca="1" si="1"/>
        <v>1.1792576419213974</v>
      </c>
      <c r="AA41" s="1">
        <f t="shared" ca="1" si="20"/>
        <v>0.1864628820960699</v>
      </c>
    </row>
    <row r="42" spans="1:27" x14ac:dyDescent="0.3">
      <c r="A42" s="1">
        <v>4</v>
      </c>
      <c r="C42" s="1" t="str">
        <f t="shared" ca="1" si="21"/>
        <v>gpp.x</v>
      </c>
      <c r="D42" s="1">
        <f t="shared" ca="1" si="22"/>
        <v>7.29</v>
      </c>
      <c r="E42" s="1">
        <f t="shared" ca="1" si="23"/>
        <v>4.2721536351165978</v>
      </c>
      <c r="F42" s="1">
        <f t="shared" ca="1" si="24"/>
        <v>0.67544581618655686</v>
      </c>
      <c r="G42" s="1">
        <f t="shared" ca="1" si="0"/>
        <v>7.2949999999999999</v>
      </c>
      <c r="H42" s="1">
        <f t="shared" ca="1" si="1"/>
        <v>3.3893077450308433</v>
      </c>
      <c r="I42" s="1">
        <f t="shared" ca="1" si="2"/>
        <v>0.53584647018505827</v>
      </c>
      <c r="J42" s="1">
        <f t="shared" ca="1" si="0"/>
        <v>32.311999999999998</v>
      </c>
      <c r="K42" s="1">
        <f t="shared" ca="1" si="1"/>
        <v>0.19924486258974997</v>
      </c>
      <c r="L42" s="1">
        <f t="shared" ca="1" si="5"/>
        <v>3.1505323099777174E-2</v>
      </c>
      <c r="M42" s="1">
        <f t="shared" ca="1" si="0"/>
        <v>26.922999999999998</v>
      </c>
      <c r="N42" s="1">
        <f t="shared" ca="1" si="1"/>
        <v>0.24024068640196117</v>
      </c>
      <c r="O42" s="1">
        <f t="shared" ca="1" si="8"/>
        <v>3.7997251420718345E-2</v>
      </c>
      <c r="P42" s="1">
        <f t="shared" ca="1" si="0"/>
        <v>12.558999999999999</v>
      </c>
      <c r="Q42" s="1">
        <f t="shared" ca="1" si="1"/>
        <v>5.1101202325025881</v>
      </c>
      <c r="R42" s="1">
        <f t="shared" ca="1" si="11"/>
        <v>0.80794649255513984</v>
      </c>
      <c r="S42" s="1">
        <f t="shared" ca="1" si="0"/>
        <v>11.326000000000001</v>
      </c>
      <c r="T42" s="1">
        <f t="shared" ca="1" si="1"/>
        <v>7.3165283418682678</v>
      </c>
      <c r="U42" s="1">
        <f t="shared" ca="1" si="14"/>
        <v>1.1568073459297192</v>
      </c>
      <c r="V42" s="1">
        <f t="shared" ca="1" si="0"/>
        <v>18.78</v>
      </c>
      <c r="W42" s="1">
        <f t="shared" ca="1" si="1"/>
        <v>0.49866879659211927</v>
      </c>
      <c r="X42" s="1">
        <f t="shared" ca="1" si="17"/>
        <v>7.8860489882854101E-2</v>
      </c>
      <c r="Y42" s="1">
        <f t="shared" ca="1" si="0"/>
        <v>18.716000000000001</v>
      </c>
      <c r="Z42" s="1">
        <f t="shared" ca="1" si="1"/>
        <v>0.18273135285317374</v>
      </c>
      <c r="AA42" s="1">
        <f t="shared" ca="1" si="20"/>
        <v>2.8905749091686257E-2</v>
      </c>
    </row>
    <row r="43" spans="1:27" x14ac:dyDescent="0.3">
      <c r="A43" s="1">
        <v>5</v>
      </c>
      <c r="C43" s="1" t="str">
        <f t="shared" ca="1" si="21"/>
        <v>gpp_o3.x</v>
      </c>
      <c r="D43" s="1">
        <f t="shared" ca="1" si="22"/>
        <v>7.1879999999999997</v>
      </c>
      <c r="E43" s="1">
        <f t="shared" ca="1" si="23"/>
        <v>3.5086254869226488</v>
      </c>
      <c r="F43" s="1">
        <f t="shared" ca="1" si="24"/>
        <v>0.5548135781858653</v>
      </c>
      <c r="G43" s="1">
        <f t="shared" ca="1" si="0"/>
        <v>7.0119999999999996</v>
      </c>
      <c r="H43" s="1">
        <f t="shared" ca="1" si="1"/>
        <v>2.7490017113519682</v>
      </c>
      <c r="I43" s="1">
        <f t="shared" ca="1" si="2"/>
        <v>0.43468339988590993</v>
      </c>
      <c r="J43" s="1">
        <f t="shared" ca="1" si="0"/>
        <v>18.867000000000001</v>
      </c>
      <c r="K43" s="1">
        <f t="shared" ca="1" si="1"/>
        <v>0.45142311973286686</v>
      </c>
      <c r="L43" s="1">
        <f t="shared" ca="1" si="5"/>
        <v>7.139449833041818E-2</v>
      </c>
      <c r="M43" s="1">
        <f t="shared" ca="1" si="0"/>
        <v>8.0839999999999996</v>
      </c>
      <c r="N43" s="1">
        <f t="shared" ca="1" si="1"/>
        <v>0.17268678871845622</v>
      </c>
      <c r="O43" s="1">
        <f t="shared" ca="1" si="8"/>
        <v>2.7337951509153888E-2</v>
      </c>
      <c r="P43" s="1">
        <f t="shared" ca="1" si="0"/>
        <v>12.488</v>
      </c>
      <c r="Q43" s="1">
        <f t="shared" ca="1" si="1"/>
        <v>5.2898782831518263</v>
      </c>
      <c r="R43" s="1">
        <f t="shared" ca="1" si="11"/>
        <v>0.83640294682895588</v>
      </c>
      <c r="S43" s="1">
        <f t="shared" ca="1" si="0"/>
        <v>11.988</v>
      </c>
      <c r="T43" s="1">
        <f t="shared" ca="1" si="1"/>
        <v>7.2375709042375709</v>
      </c>
      <c r="U43" s="1">
        <f t="shared" ca="1" si="14"/>
        <v>1.1443943943943946</v>
      </c>
      <c r="V43" s="1">
        <f t="shared" ca="1" si="0"/>
        <v>12.465</v>
      </c>
      <c r="W43" s="1">
        <f t="shared" ca="1" si="1"/>
        <v>0.63088648215002008</v>
      </c>
      <c r="X43" s="1">
        <f t="shared" ca="1" si="17"/>
        <v>9.9719213798636186E-2</v>
      </c>
      <c r="Y43" s="1">
        <f t="shared" ca="1" si="0"/>
        <v>9.6170000000000009</v>
      </c>
      <c r="Z43" s="1">
        <f t="shared" ca="1" si="1"/>
        <v>0.48091920557346363</v>
      </c>
      <c r="AA43" s="1">
        <f t="shared" ca="1" si="20"/>
        <v>7.6011230113340947E-2</v>
      </c>
    </row>
    <row r="44" spans="1:27" x14ac:dyDescent="0.3">
      <c r="A44" s="1">
        <v>6</v>
      </c>
      <c r="C44" s="1" t="str">
        <f t="shared" ca="1" si="21"/>
        <v>icx.x</v>
      </c>
      <c r="D44" s="1">
        <f t="shared" ca="1" si="22"/>
        <v>4.7409999999999997</v>
      </c>
      <c r="E44" s="1">
        <f t="shared" ca="1" si="23"/>
        <v>11.35604302889686</v>
      </c>
      <c r="F44" s="1">
        <f t="shared" ca="1" si="24"/>
        <v>1.7956127399282853</v>
      </c>
      <c r="G44" s="1">
        <f t="shared" ca="1" si="0"/>
        <v>4.1589999999999998</v>
      </c>
      <c r="H44" s="1">
        <f t="shared" ca="1" si="1"/>
        <v>7.0908872325078143</v>
      </c>
      <c r="I44" s="1">
        <f t="shared" ca="1" si="2"/>
        <v>1.1211829766770858</v>
      </c>
      <c r="J44" s="1">
        <f t="shared" ca="1" si="0"/>
        <v>1.901</v>
      </c>
      <c r="K44" s="1">
        <f t="shared" ca="1" si="1"/>
        <v>5.3161493950552341</v>
      </c>
      <c r="L44" s="1">
        <f t="shared" ca="1" si="5"/>
        <v>0.84061020515518148</v>
      </c>
      <c r="M44" s="1">
        <f t="shared" ca="1" si="0"/>
        <v>1.877</v>
      </c>
      <c r="N44" s="1">
        <f t="shared" ca="1" si="1"/>
        <v>8.340969632392115</v>
      </c>
      <c r="O44" s="1">
        <f t="shared" ca="1" si="8"/>
        <v>1.3185935002663827</v>
      </c>
      <c r="P44" s="1">
        <f t="shared" ca="1" si="0"/>
        <v>0</v>
      </c>
      <c r="Q44" s="1">
        <f t="shared" ca="1" si="1"/>
        <v>0</v>
      </c>
      <c r="R44" s="1">
        <f t="shared" ca="1" si="11"/>
        <v>0</v>
      </c>
      <c r="S44" s="1">
        <f t="shared" ca="1" si="0"/>
        <v>0</v>
      </c>
      <c r="T44" s="1">
        <f t="shared" ca="1" si="1"/>
        <v>0</v>
      </c>
      <c r="U44" s="1">
        <f t="shared" ca="1" si="14"/>
        <v>0</v>
      </c>
      <c r="V44" s="1">
        <f t="shared" ca="1" si="0"/>
        <v>5.3250000000000002</v>
      </c>
      <c r="W44" s="1">
        <f t="shared" ca="1" si="1"/>
        <v>4.312112676056338</v>
      </c>
      <c r="X44" s="1">
        <f t="shared" ca="1" si="17"/>
        <v>0.68187793427230048</v>
      </c>
      <c r="Y44" s="1">
        <f t="shared" ca="1" si="0"/>
        <v>4.6390000000000002</v>
      </c>
      <c r="Z44" s="1">
        <f t="shared" ca="1" si="1"/>
        <v>1.1465833153696916</v>
      </c>
      <c r="AA44" s="1">
        <f t="shared" ca="1" si="20"/>
        <v>0.18128907092045701</v>
      </c>
    </row>
    <row r="45" spans="1:27" x14ac:dyDescent="0.3">
      <c r="A45" s="1">
        <v>7</v>
      </c>
      <c r="C45" s="1" t="str">
        <f t="shared" ca="1" si="21"/>
        <v>icx_o3.x</v>
      </c>
      <c r="D45" s="1">
        <f t="shared" ca="1" si="22"/>
        <v>4.6420000000000003</v>
      </c>
      <c r="E45" s="1">
        <f t="shared" ca="1" si="23"/>
        <v>10.340585954330029</v>
      </c>
      <c r="F45" s="1">
        <f t="shared" ca="1" si="24"/>
        <v>1.6350710900473933</v>
      </c>
      <c r="G45" s="1">
        <f t="shared" ca="1" si="0"/>
        <v>4.1079999999999997</v>
      </c>
      <c r="H45" s="1">
        <f t="shared" ca="1" si="1"/>
        <v>8.2249269717624163</v>
      </c>
      <c r="I45" s="1">
        <f t="shared" ca="1" si="2"/>
        <v>1.3003894839337879</v>
      </c>
      <c r="J45" s="1">
        <f t="shared" ca="1" si="0"/>
        <v>1.8979999999999999</v>
      </c>
      <c r="K45" s="1">
        <f t="shared" ca="1" si="1"/>
        <v>6.5800842992623823</v>
      </c>
      <c r="L45" s="1">
        <f t="shared" ca="1" si="5"/>
        <v>1.0405690200210749</v>
      </c>
      <c r="M45" s="1">
        <f t="shared" ca="1" si="0"/>
        <v>1.877</v>
      </c>
      <c r="N45" s="1">
        <f t="shared" ca="1" si="1"/>
        <v>8.6281299946723493</v>
      </c>
      <c r="O45" s="1">
        <f t="shared" ca="1" si="8"/>
        <v>1.364411294619073</v>
      </c>
      <c r="P45" s="1">
        <f t="shared" ca="1" si="0"/>
        <v>0</v>
      </c>
      <c r="Q45" s="1">
        <f t="shared" ca="1" si="1"/>
        <v>0</v>
      </c>
      <c r="R45" s="1">
        <f t="shared" ca="1" si="11"/>
        <v>0</v>
      </c>
      <c r="S45" s="1">
        <f t="shared" ca="1" si="0"/>
        <v>0</v>
      </c>
      <c r="T45" s="1">
        <f t="shared" ca="1" si="1"/>
        <v>0</v>
      </c>
      <c r="U45" s="1">
        <f t="shared" ca="1" si="14"/>
        <v>0</v>
      </c>
      <c r="V45" s="1">
        <f t="shared" ca="1" si="0"/>
        <v>5.3390000000000004</v>
      </c>
      <c r="W45" s="1">
        <f t="shared" ca="1" si="1"/>
        <v>3.8572766435662107</v>
      </c>
      <c r="X45" s="1">
        <f t="shared" ca="1" si="17"/>
        <v>0.60985203221577067</v>
      </c>
      <c r="Y45" s="1">
        <f t="shared" ca="1" si="0"/>
        <v>4.6550000000000002</v>
      </c>
      <c r="Z45" s="1">
        <f t="shared" ca="1" si="1"/>
        <v>1.6940923737916218</v>
      </c>
      <c r="AA45" s="1">
        <f t="shared" ca="1" si="20"/>
        <v>0.2678839957035446</v>
      </c>
    </row>
    <row r="46" spans="1:27" x14ac:dyDescent="0.3">
      <c r="A46" s="1">
        <v>8</v>
      </c>
    </row>
    <row r="47" spans="1:27" x14ac:dyDescent="0.3">
      <c r="A47" s="1">
        <v>9</v>
      </c>
    </row>
    <row r="48" spans="1:27" x14ac:dyDescent="0.3">
      <c r="A48" s="1">
        <v>10</v>
      </c>
    </row>
    <row r="49" spans="1:20" x14ac:dyDescent="0.3">
      <c r="A49" s="1">
        <v>11</v>
      </c>
    </row>
    <row r="50" spans="1:20" x14ac:dyDescent="0.3">
      <c r="A50" s="1">
        <v>12</v>
      </c>
    </row>
    <row r="51" spans="1:20" x14ac:dyDescent="0.3">
      <c r="A51" s="1">
        <v>13</v>
      </c>
    </row>
    <row r="52" spans="1:20" x14ac:dyDescent="0.3">
      <c r="A52" s="1">
        <v>14</v>
      </c>
    </row>
    <row r="53" spans="1:20" x14ac:dyDescent="0.3">
      <c r="A53" s="1">
        <v>15</v>
      </c>
    </row>
    <row r="54" spans="1:20" x14ac:dyDescent="0.3">
      <c r="A54" s="1">
        <v>16</v>
      </c>
    </row>
    <row r="55" spans="1:20" x14ac:dyDescent="0.3">
      <c r="A55" s="1">
        <v>17</v>
      </c>
    </row>
    <row r="56" spans="1:20" x14ac:dyDescent="0.3">
      <c r="A56" s="1">
        <v>18</v>
      </c>
    </row>
    <row r="57" spans="1:20" x14ac:dyDescent="0.3">
      <c r="A57" s="1">
        <v>19</v>
      </c>
    </row>
    <row r="58" spans="1:20" x14ac:dyDescent="0.3">
      <c r="A58" s="1">
        <v>20</v>
      </c>
    </row>
    <row r="59" spans="1:20" x14ac:dyDescent="0.3">
      <c r="A59" s="1">
        <v>21</v>
      </c>
    </row>
    <row r="60" spans="1:20" x14ac:dyDescent="0.3">
      <c r="A60" s="1">
        <v>22</v>
      </c>
    </row>
    <row r="61" spans="1:20" x14ac:dyDescent="0.3">
      <c r="A61" s="1">
        <v>23</v>
      </c>
    </row>
    <row r="62" spans="1:20" x14ac:dyDescent="0.3">
      <c r="A62" s="1">
        <v>24</v>
      </c>
    </row>
    <row r="63" spans="1:20" x14ac:dyDescent="0.3">
      <c r="D63" s="1">
        <v>4</v>
      </c>
      <c r="F63" s="1">
        <v>10</v>
      </c>
      <c r="H63" s="1">
        <v>16</v>
      </c>
      <c r="J63" s="1">
        <v>22</v>
      </c>
      <c r="L63" s="1">
        <v>7</v>
      </c>
      <c r="N63" s="1">
        <f>L63+6</f>
        <v>13</v>
      </c>
      <c r="P63" s="1">
        <f>N63+6</f>
        <v>19</v>
      </c>
      <c r="R63" s="1">
        <f>P63+6</f>
        <v>25</v>
      </c>
    </row>
    <row r="64" spans="1:20" ht="25" thickBot="1" x14ac:dyDescent="0.3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50" customHeight="1" thickBot="1" x14ac:dyDescent="0.35">
      <c r="B65" s="6"/>
      <c r="C65" s="26" t="s">
        <v>140</v>
      </c>
      <c r="D65" s="27" t="str" cm="1">
        <f t="array" aca="1" ref="D65" ca="1">INDIRECT(ADDRESS(ROW(D37),D63))</f>
        <v>AMD Ryzen 7 5800X</v>
      </c>
      <c r="E65" s="28"/>
      <c r="F65" s="28" t="str" cm="1">
        <f t="array" aca="1" ref="F65" ca="1">INDIRECT(ADDRESS(ROW(E37),F63))</f>
        <v>AMD EPYC Turin</v>
      </c>
      <c r="G65" s="28"/>
      <c r="H65" s="28" t="str" cm="1">
        <f t="array" aca="1" ref="H65" ca="1">INDIRECT(ADDRESS(ROW(F37),H63))</f>
        <v>Apple ARM M1 Max</v>
      </c>
      <c r="I65" s="28"/>
      <c r="J65" s="28" t="str" cm="1">
        <f t="array" aca="1" ref="J65" ca="1">INDIRECT(ADDRESS(ROW(G37),J63))</f>
        <v xml:space="preserve">Intel Xeon Platinum </v>
      </c>
      <c r="K65" s="29"/>
      <c r="L65" s="30" t="str" cm="1">
        <f t="array" aca="1" ref="L65" ca="1">INDIRECT(ADDRESS(ROW(H37),L63))</f>
        <v>AMD Ryzen 7 5800X ASE</v>
      </c>
      <c r="M65" s="31"/>
      <c r="N65" s="31" t="str" cm="1">
        <f t="array" aca="1" ref="N65" ca="1">INDIRECT(ADDRESS(ROW(I37),N63))</f>
        <v>AMD EPYC Turin ASE</v>
      </c>
      <c r="O65" s="31"/>
      <c r="P65" s="31" t="str" cm="1">
        <f t="array" aca="1" ref="P65" ca="1">INDIRECT(ADDRESS(ROW(J37),P63))</f>
        <v>Apple ARM M1 Max ASE</v>
      </c>
      <c r="Q65" s="31"/>
      <c r="R65" s="31" t="str" cm="1">
        <f t="array" aca="1" ref="R65" ca="1">INDIRECT(ADDRESS(ROW(K37),R63))</f>
        <v>Intel Xeon Platinum ASE</v>
      </c>
      <c r="S65" s="32"/>
      <c r="T65" s="6"/>
    </row>
    <row r="66" spans="1:20" x14ac:dyDescent="0.3">
      <c r="A66" s="1">
        <v>0</v>
      </c>
      <c r="B66" s="6"/>
      <c r="C66" s="42" t="str">
        <f ca="1">SUBSTITUTE(LEFT(C38,FIND(".",C38)-1),"pp","++")</f>
        <v>gfortran</v>
      </c>
      <c r="D66" s="43" cm="1">
        <f t="array" aca="1" ref="D66" ca="1">INDIRECT(ADDRESS(ROW($D$38)+$A66,D$63))</f>
        <v>7.1879999999999997</v>
      </c>
      <c r="E66" s="44" t="str" cm="1">
        <f t="array" aca="1" ref="E66" ca="1">"("&amp;TEXT(INDIRECT(ADDRESS(ROW($D$38)+$A66,D$63+2)),"0.0")&amp;"%)"</f>
        <v>(0.9%)</v>
      </c>
      <c r="F66" s="45" cm="1">
        <f t="array" aca="1" ref="F66" ca="1">INDIRECT(ADDRESS(ROW($D$38)+$A66,F$63))</f>
        <v>5.431</v>
      </c>
      <c r="G66" s="44" t="str" cm="1">
        <f t="array" aca="1" ref="G66" ca="1">"("&amp;TEXT(INDIRECT(ADDRESS(ROW($D$38)+$A66,F$63+2)),"0.0")&amp;"%)"</f>
        <v>(0.1%)</v>
      </c>
      <c r="H66" s="45" cm="1">
        <f t="array" aca="1" ref="H66" ca="1">INDIRECT(ADDRESS(ROW($D$38)+$A66,H$63))</f>
        <v>12.013</v>
      </c>
      <c r="I66" s="44" t="str" cm="1">
        <f t="array" aca="1" ref="I66" ca="1">"("&amp;TEXT(INDIRECT(ADDRESS(ROW($D$38)+$A66,H$63+2)),"0.0")&amp;"%)"</f>
        <v>(0.8%)</v>
      </c>
      <c r="J66" s="45" cm="1">
        <f t="array" aca="1" ref="J66" ca="1">INDIRECT(ADDRESS(ROW($D$38)+$A66,J$63))</f>
        <v>6.5670000000000002</v>
      </c>
      <c r="K66" s="46" t="str" cm="1">
        <f t="array" aca="1" ref="K66" ca="1">"("&amp;TEXT(INDIRECT(ADDRESS(ROW($D$38)+$A66,J$63+2)),"0.0")&amp;"%)"</f>
        <v>(0.1%)</v>
      </c>
      <c r="L66" s="47" cm="1">
        <f t="array" aca="1" ref="L66" ca="1">INDIRECT(ADDRESS(ROW($D$38)+$A66,L$63))</f>
        <v>7.07</v>
      </c>
      <c r="M66" s="48" t="str" cm="1">
        <f t="array" aca="1" ref="M66" ca="1">"("&amp;TEXT(INDIRECT(ADDRESS(ROW($D$38)+$A66,L$63+2)),"0.0")&amp;"%)"</f>
        <v>(0.5%)</v>
      </c>
      <c r="N66" s="49" cm="1">
        <f t="array" aca="1" ref="N66" ca="1">INDIRECT(ADDRESS(ROW($D$38)+$A66,N$63))</f>
        <v>5.4020000000000001</v>
      </c>
      <c r="O66" s="48" t="str" cm="1">
        <f t="array" aca="1" ref="O66" ca="1">"("&amp;TEXT(INDIRECT(ADDRESS(ROW($D$38)+$A66,N$63+2)),"0.0")&amp;"%)"</f>
        <v>(0.0%)</v>
      </c>
      <c r="P66" s="49" cm="1">
        <f t="array" aca="1" ref="P66" ca="1">INDIRECT(ADDRESS(ROW($D$38)+$A66,P$63))</f>
        <v>11.055999999999999</v>
      </c>
      <c r="Q66" s="48" t="str" cm="1">
        <f t="array" aca="1" ref="Q66" ca="1">"("&amp;TEXT(INDIRECT(ADDRESS(ROW($D$38)+$A66,P$63+2)),"0.0")&amp;"%)"</f>
        <v>(1.3%)</v>
      </c>
      <c r="R66" s="49" cm="1">
        <f t="array" aca="1" ref="R66" ca="1">INDIRECT(ADDRESS(ROW($D$38)+$A66,R$63))</f>
        <v>6.57</v>
      </c>
      <c r="S66" s="50" t="str" cm="1">
        <f t="array" aca="1" ref="S66" ca="1">"("&amp;TEXT(INDIRECT(ADDRESS(ROW($D$38)+$A66,R$63+2)),"0.0")&amp;"%)"</f>
        <v>(0.1%)</v>
      </c>
      <c r="T66" s="6"/>
    </row>
    <row r="67" spans="1:20" x14ac:dyDescent="0.3">
      <c r="A67" s="1">
        <v>1</v>
      </c>
      <c r="B67" s="6"/>
      <c r="C67" s="24" t="str">
        <f t="shared" ref="C67:C73" ca="1" si="25">SUBSTITUTE(LEFT(C39,FIND(".",C39)-1),"pp","++")</f>
        <v>gfortran_o3</v>
      </c>
      <c r="D67" s="10" cm="1">
        <f t="array" aca="1" ref="D67" ca="1">INDIRECT(ADDRESS(ROW($D$38)+$A67,D$63))</f>
        <v>7.1520000000000001</v>
      </c>
      <c r="E67" s="9" t="str" cm="1">
        <f t="array" aca="1" ref="E67" ca="1">"("&amp;TEXT(INDIRECT(ADDRESS(ROW($D$38)+$A67,D$63+2)),"0.0")&amp;"%)"</f>
        <v>(0.8%)</v>
      </c>
      <c r="F67" s="8" cm="1">
        <f t="array" aca="1" ref="F67" ca="1">INDIRECT(ADDRESS(ROW($D$38)+$A67,F$63))</f>
        <v>5.4139999999999997</v>
      </c>
      <c r="G67" s="9" t="str" cm="1">
        <f t="array" aca="1" ref="G67" ca="1">"("&amp;TEXT(INDIRECT(ADDRESS(ROW($D$38)+$A67,F$63+2)),"0.0")&amp;"%)"</f>
        <v>(0.1%)</v>
      </c>
      <c r="H67" s="8" cm="1">
        <f t="array" aca="1" ref="H67" ca="1">INDIRECT(ADDRESS(ROW($D$38)+$A67,H$63))</f>
        <v>12.081</v>
      </c>
      <c r="I67" s="9" t="str" cm="1">
        <f t="array" aca="1" ref="I67" ca="1">"("&amp;TEXT(INDIRECT(ADDRESS(ROW($D$38)+$A67,H$63+2)),"0.0")&amp;"%)"</f>
        <v>(0.8%)</v>
      </c>
      <c r="J67" s="8" cm="1">
        <f t="array" aca="1" ref="J67" ca="1">INDIRECT(ADDRESS(ROW($D$38)+$A67,J$63))</f>
        <v>6.5449999999999999</v>
      </c>
      <c r="K67" s="11" t="str" cm="1">
        <f t="array" aca="1" ref="K67" ca="1">"("&amp;TEXT(INDIRECT(ADDRESS(ROW($D$38)+$A67,J$63+2)),"0.0")&amp;"%)"</f>
        <v>(0.1%)</v>
      </c>
      <c r="L67" s="16" cm="1">
        <f t="array" aca="1" ref="L67" ca="1">INDIRECT(ADDRESS(ROW($D$38)+$A67,L$63))</f>
        <v>6.9390000000000001</v>
      </c>
      <c r="M67" s="20" t="str" cm="1">
        <f t="array" aca="1" ref="M67" ca="1">"("&amp;TEXT(INDIRECT(ADDRESS(ROW($D$38)+$A67,L$63+2)),"0.0")&amp;"%)"</f>
        <v>(0.4%)</v>
      </c>
      <c r="N67" s="17" cm="1">
        <f t="array" aca="1" ref="N67" ca="1">INDIRECT(ADDRESS(ROW($D$38)+$A67,N$63))</f>
        <v>5.3959999999999999</v>
      </c>
      <c r="O67" s="20" t="str" cm="1">
        <f t="array" aca="1" ref="O67" ca="1">"("&amp;TEXT(INDIRECT(ADDRESS(ROW($D$38)+$A67,N$63+2)),"0.0")&amp;"%)"</f>
        <v>(0.1%)</v>
      </c>
      <c r="P67" s="17" cm="1">
        <f t="array" aca="1" ref="P67" ca="1">INDIRECT(ADDRESS(ROW($D$38)+$A67,P$63))</f>
        <v>11.189</v>
      </c>
      <c r="Q67" s="20" t="str" cm="1">
        <f t="array" aca="1" ref="Q67" ca="1">"("&amp;TEXT(INDIRECT(ADDRESS(ROW($D$38)+$A67,P$63+2)),"0.0")&amp;"%)"</f>
        <v>(1.1%)</v>
      </c>
      <c r="R67" s="17" cm="1">
        <f t="array" aca="1" ref="R67" ca="1">INDIRECT(ADDRESS(ROW($D$38)+$A67,R$63))</f>
        <v>6.55</v>
      </c>
      <c r="S67" s="22" t="str" cm="1">
        <f t="array" aca="1" ref="S67" ca="1">"("&amp;TEXT(INDIRECT(ADDRESS(ROW($D$38)+$A67,R$63+2)),"0.0")&amp;"%)"</f>
        <v>(0.1%)</v>
      </c>
      <c r="T67" s="6"/>
    </row>
    <row r="68" spans="1:20" x14ac:dyDescent="0.3">
      <c r="A68" s="1">
        <v>2</v>
      </c>
      <c r="B68" s="6"/>
      <c r="C68" s="24" t="str">
        <f t="shared" ca="1" si="25"/>
        <v>ifx</v>
      </c>
      <c r="D68" s="10" cm="1">
        <f t="array" aca="1" ref="D68" ca="1">INDIRECT(ADDRESS(ROW($D$38)+$A68,D$63))</f>
        <v>6.5</v>
      </c>
      <c r="E68" s="9" t="str" cm="1">
        <f t="array" aca="1" ref="E68" ca="1">"("&amp;TEXT(INDIRECT(ADDRESS(ROW($D$38)+$A68,D$63+2)),"0.0")&amp;"%)"</f>
        <v>(3.0%)</v>
      </c>
      <c r="F68" s="8" cm="1">
        <f t="array" aca="1" ref="F68" ca="1">INDIRECT(ADDRESS(ROW($D$38)+$A68,F$63))</f>
        <v>5.4109999999999996</v>
      </c>
      <c r="G68" s="9" t="str" cm="1">
        <f t="array" aca="1" ref="G68" ca="1">"("&amp;TEXT(INDIRECT(ADDRESS(ROW($D$38)+$A68,F$63+2)),"0.0")&amp;"%)"</f>
        <v>(0.1%)</v>
      </c>
      <c r="H68" s="8" cm="1">
        <f t="array" aca="1" ref="H68" ca="1">INDIRECT(ADDRESS(ROW($D$38)+$A68,H$63))</f>
        <v>0</v>
      </c>
      <c r="I68" s="9" t="str" cm="1">
        <f t="array" aca="1" ref="I68" ca="1">"("&amp;TEXT(INDIRECT(ADDRESS(ROW($D$38)+$A68,H$63+2)),"0.0")&amp;"%)"</f>
        <v>(0.0%)</v>
      </c>
      <c r="J68" s="8" cm="1">
        <f t="array" aca="1" ref="J68" ca="1">INDIRECT(ADDRESS(ROW($D$38)+$A68,J$63))</f>
        <v>6.5259999999999998</v>
      </c>
      <c r="K68" s="11" t="str" cm="1">
        <f t="array" aca="1" ref="K68" ca="1">"("&amp;TEXT(INDIRECT(ADDRESS(ROW($D$38)+$A68,J$63+2)),"0.0")&amp;"%)"</f>
        <v>(0.1%)</v>
      </c>
      <c r="L68" s="16" cm="1">
        <f t="array" aca="1" ref="L68" ca="1">INDIRECT(ADDRESS(ROW($D$38)+$A68,L$63))</f>
        <v>3.9249999999999998</v>
      </c>
      <c r="M68" s="20" t="str" cm="1">
        <f t="array" aca="1" ref="M68" ca="1">"("&amp;TEXT(INDIRECT(ADDRESS(ROW($D$38)+$A68,L$63+2)),"0.0")&amp;"%)"</f>
        <v>(3.9%)</v>
      </c>
      <c r="N68" s="17" cm="1">
        <f t="array" aca="1" ref="N68" ca="1">INDIRECT(ADDRESS(ROW($D$38)+$A68,N$63))</f>
        <v>1.982</v>
      </c>
      <c r="O68" s="20" t="str" cm="1">
        <f t="array" aca="1" ref="O68" ca="1">"("&amp;TEXT(INDIRECT(ADDRESS(ROW($D$38)+$A68,N$63+2)),"0.0")&amp;"%)"</f>
        <v>(0.8%)</v>
      </c>
      <c r="P68" s="17" cm="1">
        <f t="array" aca="1" ref="P68" ca="1">INDIRECT(ADDRESS(ROW($D$38)+$A68,P$63))</f>
        <v>0</v>
      </c>
      <c r="Q68" s="20" t="str" cm="1">
        <f t="array" aca="1" ref="Q68" ca="1">"("&amp;TEXT(INDIRECT(ADDRESS(ROW($D$38)+$A68,P$63+2)),"0.0")&amp;"%)"</f>
        <v>(0.0%)</v>
      </c>
      <c r="R68" s="17" cm="1">
        <f t="array" aca="1" ref="R68" ca="1">INDIRECT(ADDRESS(ROW($D$38)+$A68,R$63))</f>
        <v>4.6230000000000002</v>
      </c>
      <c r="S68" s="22" t="str" cm="1">
        <f t="array" aca="1" ref="S68" ca="1">"("&amp;TEXT(INDIRECT(ADDRESS(ROW($D$38)+$A68,R$63+2)),"0.0")&amp;"%)"</f>
        <v>(0.2%)</v>
      </c>
      <c r="T68" s="6"/>
    </row>
    <row r="69" spans="1:20" ht="25" thickBot="1" x14ac:dyDescent="0.35">
      <c r="A69" s="1">
        <v>3</v>
      </c>
      <c r="B69" s="6"/>
      <c r="C69" s="25" t="str">
        <f t="shared" ca="1" si="25"/>
        <v>ifx_o3</v>
      </c>
      <c r="D69" s="12" cm="1">
        <f t="array" aca="1" ref="D69" ca="1">INDIRECT(ADDRESS(ROW($D$38)+$A69,D$63))</f>
        <v>5.9749999999999996</v>
      </c>
      <c r="E69" s="13" t="str" cm="1">
        <f t="array" aca="1" ref="E69" ca="1">"("&amp;TEXT(INDIRECT(ADDRESS(ROW($D$38)+$A69,D$63+2)),"0.0")&amp;"%)"</f>
        <v>(4.9%)</v>
      </c>
      <c r="F69" s="14" cm="1">
        <f t="array" aca="1" ref="F69" ca="1">INDIRECT(ADDRESS(ROW($D$38)+$A69,F$63))</f>
        <v>5.4089999999999998</v>
      </c>
      <c r="G69" s="13" t="str" cm="1">
        <f t="array" aca="1" ref="G69" ca="1">"("&amp;TEXT(INDIRECT(ADDRESS(ROW($D$38)+$A69,F$63+2)),"0.0")&amp;"%)"</f>
        <v>(0.1%)</v>
      </c>
      <c r="H69" s="14" cm="1">
        <f t="array" aca="1" ref="H69" ca="1">INDIRECT(ADDRESS(ROW($D$38)+$A69,H$63))</f>
        <v>0</v>
      </c>
      <c r="I69" s="13" t="str" cm="1">
        <f t="array" aca="1" ref="I69" ca="1">"("&amp;TEXT(INDIRECT(ADDRESS(ROW($D$38)+$A69,H$63+2)),"0.0")&amp;"%)"</f>
        <v>(0.0%)</v>
      </c>
      <c r="J69" s="14" cm="1">
        <f t="array" aca="1" ref="J69" ca="1">INDIRECT(ADDRESS(ROW($D$38)+$A69,J$63))</f>
        <v>6.5389999999999997</v>
      </c>
      <c r="K69" s="15" t="str" cm="1">
        <f t="array" aca="1" ref="K69" ca="1">"("&amp;TEXT(INDIRECT(ADDRESS(ROW($D$38)+$A69,J$63+2)),"0.0")&amp;"%)"</f>
        <v>(0.1%)</v>
      </c>
      <c r="L69" s="18" cm="1">
        <f t="array" aca="1" ref="L69" ca="1">INDIRECT(ADDRESS(ROW($D$38)+$A69,L$63))</f>
        <v>4.45</v>
      </c>
      <c r="M69" s="21" t="str" cm="1">
        <f t="array" aca="1" ref="M69" ca="1">"("&amp;TEXT(INDIRECT(ADDRESS(ROW($D$38)+$A69,L$63+2)),"0.0")&amp;"%)"</f>
        <v>(6.4%)</v>
      </c>
      <c r="N69" s="19" cm="1">
        <f t="array" aca="1" ref="N69" ca="1">INDIRECT(ADDRESS(ROW($D$38)+$A69,N$63))</f>
        <v>1.9990000000000001</v>
      </c>
      <c r="O69" s="21" t="str" cm="1">
        <f t="array" aca="1" ref="O69" ca="1">"("&amp;TEXT(INDIRECT(ADDRESS(ROW($D$38)+$A69,N$63+2)),"0.0")&amp;"%)"</f>
        <v>(0.6%)</v>
      </c>
      <c r="P69" s="19" cm="1">
        <f t="array" aca="1" ref="P69" ca="1">INDIRECT(ADDRESS(ROW($D$38)+$A69,P$63))</f>
        <v>0</v>
      </c>
      <c r="Q69" s="21" t="str" cm="1">
        <f t="array" aca="1" ref="Q69" ca="1">"("&amp;TEXT(INDIRECT(ADDRESS(ROW($D$38)+$A69,P$63+2)),"0.0")&amp;"%)"</f>
        <v>(0.0%)</v>
      </c>
      <c r="R69" s="19" cm="1">
        <f t="array" aca="1" ref="R69" ca="1">INDIRECT(ADDRESS(ROW($D$38)+$A69,R$63))</f>
        <v>4.58</v>
      </c>
      <c r="S69" s="23" t="str" cm="1">
        <f t="array" aca="1" ref="S69" ca="1">"("&amp;TEXT(INDIRECT(ADDRESS(ROW($D$38)+$A69,R$63+2)),"0.0")&amp;"%)"</f>
        <v>(0.2%)</v>
      </c>
      <c r="T69" s="6"/>
    </row>
    <row r="70" spans="1:20" x14ac:dyDescent="0.3">
      <c r="A70" s="1">
        <v>4</v>
      </c>
      <c r="B70" s="6"/>
      <c r="C70" s="33" t="str">
        <f t="shared" ca="1" si="25"/>
        <v>g++</v>
      </c>
      <c r="D70" s="34" cm="1">
        <f t="array" aca="1" ref="D70" ca="1">INDIRECT(ADDRESS(ROW($D$38)+$A70,D$63))</f>
        <v>7.29</v>
      </c>
      <c r="E70" s="35" t="str" cm="1">
        <f t="array" aca="1" ref="E70" ca="1">"("&amp;TEXT(INDIRECT(ADDRESS(ROW($D$38)+$A70,D$63+2)),"0.0")&amp;"%)"</f>
        <v>(0.7%)</v>
      </c>
      <c r="F70" s="36" cm="1">
        <f t="array" aca="1" ref="F70" ca="1">INDIRECT(ADDRESS(ROW($D$38)+$A70,F$63))</f>
        <v>32.311999999999998</v>
      </c>
      <c r="G70" s="35" t="str" cm="1">
        <f t="array" aca="1" ref="G70" ca="1">"("&amp;TEXT(INDIRECT(ADDRESS(ROW($D$38)+$A70,F$63+2)),"0.0")&amp;"%)"</f>
        <v>(0.0%)</v>
      </c>
      <c r="H70" s="36" cm="1">
        <f t="array" aca="1" ref="H70" ca="1">INDIRECT(ADDRESS(ROW($D$38)+$A70,H$63))</f>
        <v>12.558999999999999</v>
      </c>
      <c r="I70" s="35" t="str" cm="1">
        <f t="array" aca="1" ref="I70" ca="1">"("&amp;TEXT(INDIRECT(ADDRESS(ROW($D$38)+$A70,H$63+2)),"0.0")&amp;"%)"</f>
        <v>(0.8%)</v>
      </c>
      <c r="J70" s="36" cm="1">
        <f t="array" aca="1" ref="J70" ca="1">INDIRECT(ADDRESS(ROW($D$38)+$A70,J$63))</f>
        <v>18.78</v>
      </c>
      <c r="K70" s="37" t="str" cm="1">
        <f t="array" aca="1" ref="K70" ca="1">"("&amp;TEXT(INDIRECT(ADDRESS(ROW($D$38)+$A70,J$63+2)),"0.0")&amp;"%)"</f>
        <v>(0.1%)</v>
      </c>
      <c r="L70" s="38" cm="1">
        <f t="array" aca="1" ref="L70" ca="1">INDIRECT(ADDRESS(ROW($D$38)+$A70,L$63))</f>
        <v>7.2949999999999999</v>
      </c>
      <c r="M70" s="39" t="str" cm="1">
        <f t="array" aca="1" ref="M70" ca="1">"("&amp;TEXT(INDIRECT(ADDRESS(ROW($D$38)+$A70,L$63+2)),"0.0")&amp;"%)"</f>
        <v>(0.5%)</v>
      </c>
      <c r="N70" s="40" cm="1">
        <f t="array" aca="1" ref="N70" ca="1">INDIRECT(ADDRESS(ROW($D$38)+$A70,N$63))</f>
        <v>26.922999999999998</v>
      </c>
      <c r="O70" s="39" t="str" cm="1">
        <f t="array" aca="1" ref="O70" ca="1">"("&amp;TEXT(INDIRECT(ADDRESS(ROW($D$38)+$A70,N$63+2)),"0.0")&amp;"%)"</f>
        <v>(0.0%)</v>
      </c>
      <c r="P70" s="40" cm="1">
        <f t="array" aca="1" ref="P70" ca="1">INDIRECT(ADDRESS(ROW($D$38)+$A70,P$63))</f>
        <v>11.326000000000001</v>
      </c>
      <c r="Q70" s="39" t="str" cm="1">
        <f t="array" aca="1" ref="Q70" ca="1">"("&amp;TEXT(INDIRECT(ADDRESS(ROW($D$38)+$A70,P$63+2)),"0.0")&amp;"%)"</f>
        <v>(1.2%)</v>
      </c>
      <c r="R70" s="40" cm="1">
        <f t="array" aca="1" ref="R70" ca="1">INDIRECT(ADDRESS(ROW($D$38)+$A70,R$63))</f>
        <v>18.716000000000001</v>
      </c>
      <c r="S70" s="41" t="str" cm="1">
        <f t="array" aca="1" ref="S70" ca="1">"("&amp;TEXT(INDIRECT(ADDRESS(ROW($D$38)+$A70,R$63+2)),"0.0")&amp;"%)"</f>
        <v>(0.0%)</v>
      </c>
      <c r="T70" s="6"/>
    </row>
    <row r="71" spans="1:20" x14ac:dyDescent="0.3">
      <c r="A71" s="1">
        <v>5</v>
      </c>
      <c r="B71" s="6"/>
      <c r="C71" s="24" t="str">
        <f t="shared" ca="1" si="25"/>
        <v>g++_o3</v>
      </c>
      <c r="D71" s="10" cm="1">
        <f t="array" aca="1" ref="D71" ca="1">INDIRECT(ADDRESS(ROW($D$38)+$A71,D$63))</f>
        <v>7.1879999999999997</v>
      </c>
      <c r="E71" s="9" t="str" cm="1">
        <f t="array" aca="1" ref="E71" ca="1">"("&amp;TEXT(INDIRECT(ADDRESS(ROW($D$38)+$A71,D$63+2)),"0.0")&amp;"%)"</f>
        <v>(0.6%)</v>
      </c>
      <c r="F71" s="8" cm="1">
        <f t="array" aca="1" ref="F71" ca="1">INDIRECT(ADDRESS(ROW($D$38)+$A71,F$63))</f>
        <v>18.867000000000001</v>
      </c>
      <c r="G71" s="9" t="str" cm="1">
        <f t="array" aca="1" ref="G71" ca="1">"("&amp;TEXT(INDIRECT(ADDRESS(ROW($D$38)+$A71,F$63+2)),"0.0")&amp;"%)"</f>
        <v>(0.1%)</v>
      </c>
      <c r="H71" s="8" cm="1">
        <f t="array" aca="1" ref="H71" ca="1">INDIRECT(ADDRESS(ROW($D$38)+$A71,H$63))</f>
        <v>12.488</v>
      </c>
      <c r="I71" s="9" t="str" cm="1">
        <f t="array" aca="1" ref="I71" ca="1">"("&amp;TEXT(INDIRECT(ADDRESS(ROW($D$38)+$A71,H$63+2)),"0.0")&amp;"%)"</f>
        <v>(0.8%)</v>
      </c>
      <c r="J71" s="8" cm="1">
        <f t="array" aca="1" ref="J71" ca="1">INDIRECT(ADDRESS(ROW($D$38)+$A71,J$63))</f>
        <v>12.465</v>
      </c>
      <c r="K71" s="11" t="str" cm="1">
        <f t="array" aca="1" ref="K71" ca="1">"("&amp;TEXT(INDIRECT(ADDRESS(ROW($D$38)+$A71,J$63+2)),"0.0")&amp;"%)"</f>
        <v>(0.1%)</v>
      </c>
      <c r="L71" s="16" cm="1">
        <f t="array" aca="1" ref="L71" ca="1">INDIRECT(ADDRESS(ROW($D$38)+$A71,L$63))</f>
        <v>7.0119999999999996</v>
      </c>
      <c r="M71" s="20" t="str" cm="1">
        <f t="array" aca="1" ref="M71" ca="1">"("&amp;TEXT(INDIRECT(ADDRESS(ROW($D$38)+$A71,L$63+2)),"0.0")&amp;"%)"</f>
        <v>(0.4%)</v>
      </c>
      <c r="N71" s="17" cm="1">
        <f t="array" aca="1" ref="N71" ca="1">INDIRECT(ADDRESS(ROW($D$38)+$A71,N$63))</f>
        <v>8.0839999999999996</v>
      </c>
      <c r="O71" s="20" t="str" cm="1">
        <f t="array" aca="1" ref="O71" ca="1">"("&amp;TEXT(INDIRECT(ADDRESS(ROW($D$38)+$A71,N$63+2)),"0.0")&amp;"%)"</f>
        <v>(0.0%)</v>
      </c>
      <c r="P71" s="17" cm="1">
        <f t="array" aca="1" ref="P71" ca="1">INDIRECT(ADDRESS(ROW($D$38)+$A71,P$63))</f>
        <v>11.988</v>
      </c>
      <c r="Q71" s="20" t="str" cm="1">
        <f t="array" aca="1" ref="Q71" ca="1">"("&amp;TEXT(INDIRECT(ADDRESS(ROW($D$38)+$A71,P$63+2)),"0.0")&amp;"%)"</f>
        <v>(1.1%)</v>
      </c>
      <c r="R71" s="17" cm="1">
        <f t="array" aca="1" ref="R71" ca="1">INDIRECT(ADDRESS(ROW($D$38)+$A71,R$63))</f>
        <v>9.6170000000000009</v>
      </c>
      <c r="S71" s="22" t="str" cm="1">
        <f t="array" aca="1" ref="S71" ca="1">"("&amp;TEXT(INDIRECT(ADDRESS(ROW($D$38)+$A71,R$63+2)),"0.0")&amp;"%)"</f>
        <v>(0.1%)</v>
      </c>
      <c r="T71" s="6"/>
    </row>
    <row r="72" spans="1:20" x14ac:dyDescent="0.3">
      <c r="A72" s="1">
        <v>6</v>
      </c>
      <c r="B72" s="6"/>
      <c r="C72" s="24" t="str">
        <f t="shared" ca="1" si="25"/>
        <v>icx</v>
      </c>
      <c r="D72" s="10" cm="1">
        <f t="array" aca="1" ref="D72" ca="1">INDIRECT(ADDRESS(ROW($D$38)+$A72,D$63))</f>
        <v>4.7409999999999997</v>
      </c>
      <c r="E72" s="9" t="str" cm="1">
        <f t="array" aca="1" ref="E72" ca="1">"("&amp;TEXT(INDIRECT(ADDRESS(ROW($D$38)+$A72,D$63+2)),"0.0")&amp;"%)"</f>
        <v>(1.8%)</v>
      </c>
      <c r="F72" s="8" cm="1">
        <f t="array" aca="1" ref="F72" ca="1">INDIRECT(ADDRESS(ROW($D$38)+$A72,F$63))</f>
        <v>1.901</v>
      </c>
      <c r="G72" s="9" t="str" cm="1">
        <f t="array" aca="1" ref="G72" ca="1">"("&amp;TEXT(INDIRECT(ADDRESS(ROW($D$38)+$A72,F$63+2)),"0.0")&amp;"%)"</f>
        <v>(0.8%)</v>
      </c>
      <c r="H72" s="8" cm="1">
        <f t="array" aca="1" ref="H72" ca="1">INDIRECT(ADDRESS(ROW($D$38)+$A72,H$63))</f>
        <v>0</v>
      </c>
      <c r="I72" s="9" t="str" cm="1">
        <f t="array" aca="1" ref="I72" ca="1">"("&amp;TEXT(INDIRECT(ADDRESS(ROW($D$38)+$A72,H$63+2)),"0.0")&amp;"%)"</f>
        <v>(0.0%)</v>
      </c>
      <c r="J72" s="8" cm="1">
        <f t="array" aca="1" ref="J72" ca="1">INDIRECT(ADDRESS(ROW($D$38)+$A72,J$63))</f>
        <v>5.3250000000000002</v>
      </c>
      <c r="K72" s="11" t="str" cm="1">
        <f t="array" aca="1" ref="K72" ca="1">"("&amp;TEXT(INDIRECT(ADDRESS(ROW($D$38)+$A72,J$63+2)),"0.0")&amp;"%)"</f>
        <v>(0.7%)</v>
      </c>
      <c r="L72" s="16" cm="1">
        <f t="array" aca="1" ref="L72" ca="1">INDIRECT(ADDRESS(ROW($D$38)+$A72,L$63))</f>
        <v>4.1589999999999998</v>
      </c>
      <c r="M72" s="20" t="str" cm="1">
        <f t="array" aca="1" ref="M72" ca="1">"("&amp;TEXT(INDIRECT(ADDRESS(ROW($D$38)+$A72,L$63+2)),"0.0")&amp;"%)"</f>
        <v>(1.1%)</v>
      </c>
      <c r="N72" s="17" cm="1">
        <f t="array" aca="1" ref="N72" ca="1">INDIRECT(ADDRESS(ROW($D$38)+$A72,N$63))</f>
        <v>1.877</v>
      </c>
      <c r="O72" s="20" t="str" cm="1">
        <f t="array" aca="1" ref="O72" ca="1">"("&amp;TEXT(INDIRECT(ADDRESS(ROW($D$38)+$A72,N$63+2)),"0.0")&amp;"%)"</f>
        <v>(1.3%)</v>
      </c>
      <c r="P72" s="17" cm="1">
        <f t="array" aca="1" ref="P72" ca="1">INDIRECT(ADDRESS(ROW($D$38)+$A72,P$63))</f>
        <v>0</v>
      </c>
      <c r="Q72" s="20" t="str" cm="1">
        <f t="array" aca="1" ref="Q72" ca="1">"("&amp;TEXT(INDIRECT(ADDRESS(ROW($D$38)+$A72,P$63+2)),"0.0")&amp;"%)"</f>
        <v>(0.0%)</v>
      </c>
      <c r="R72" s="17" cm="1">
        <f t="array" aca="1" ref="R72" ca="1">INDIRECT(ADDRESS(ROW($D$38)+$A72,R$63))</f>
        <v>4.6390000000000002</v>
      </c>
      <c r="S72" s="22" t="str" cm="1">
        <f t="array" aca="1" ref="S72" ca="1">"("&amp;TEXT(INDIRECT(ADDRESS(ROW($D$38)+$A72,R$63+2)),"0.0")&amp;"%)"</f>
        <v>(0.2%)</v>
      </c>
      <c r="T72" s="6"/>
    </row>
    <row r="73" spans="1:20" ht="25" thickBot="1" x14ac:dyDescent="0.35">
      <c r="A73" s="1">
        <v>7</v>
      </c>
      <c r="B73" s="6"/>
      <c r="C73" s="25" t="str">
        <f t="shared" ca="1" si="25"/>
        <v>icx_o3</v>
      </c>
      <c r="D73" s="12" cm="1">
        <f t="array" aca="1" ref="D73" ca="1">INDIRECT(ADDRESS(ROW($D$38)+$A73,D$63))</f>
        <v>4.6420000000000003</v>
      </c>
      <c r="E73" s="13" t="str" cm="1">
        <f t="array" aca="1" ref="E73" ca="1">"("&amp;TEXT(INDIRECT(ADDRESS(ROW($D$38)+$A73,D$63+2)),"0.0")&amp;"%)"</f>
        <v>(1.6%)</v>
      </c>
      <c r="F73" s="14" cm="1">
        <f t="array" aca="1" ref="F73" ca="1">INDIRECT(ADDRESS(ROW($D$38)+$A73,F$63))</f>
        <v>1.8979999999999999</v>
      </c>
      <c r="G73" s="13" t="str" cm="1">
        <f t="array" aca="1" ref="G73" ca="1">"("&amp;TEXT(INDIRECT(ADDRESS(ROW($D$38)+$A73,F$63+2)),"0.0")&amp;"%)"</f>
        <v>(1.0%)</v>
      </c>
      <c r="H73" s="14" cm="1">
        <f t="array" aca="1" ref="H73" ca="1">INDIRECT(ADDRESS(ROW($D$38)+$A73,H$63))</f>
        <v>0</v>
      </c>
      <c r="I73" s="13" t="str" cm="1">
        <f t="array" aca="1" ref="I73" ca="1">"("&amp;TEXT(INDIRECT(ADDRESS(ROW($D$38)+$A73,H$63+2)),"0.0")&amp;"%)"</f>
        <v>(0.0%)</v>
      </c>
      <c r="J73" s="14" cm="1">
        <f t="array" aca="1" ref="J73" ca="1">INDIRECT(ADDRESS(ROW($D$38)+$A73,J$63))</f>
        <v>5.3390000000000004</v>
      </c>
      <c r="K73" s="15" t="str" cm="1">
        <f t="array" aca="1" ref="K73" ca="1">"("&amp;TEXT(INDIRECT(ADDRESS(ROW($D$38)+$A73,J$63+2)),"0.0")&amp;"%)"</f>
        <v>(0.6%)</v>
      </c>
      <c r="L73" s="18" cm="1">
        <f t="array" aca="1" ref="L73" ca="1">INDIRECT(ADDRESS(ROW($D$38)+$A73,L$63))</f>
        <v>4.1079999999999997</v>
      </c>
      <c r="M73" s="21" t="str" cm="1">
        <f t="array" aca="1" ref="M73" ca="1">"("&amp;TEXT(INDIRECT(ADDRESS(ROW($D$38)+$A73,L$63+2)),"0.0")&amp;"%)"</f>
        <v>(1.3%)</v>
      </c>
      <c r="N73" s="19" cm="1">
        <f t="array" aca="1" ref="N73" ca="1">INDIRECT(ADDRESS(ROW($D$38)+$A73,N$63))</f>
        <v>1.877</v>
      </c>
      <c r="O73" s="21" t="str" cm="1">
        <f t="array" aca="1" ref="O73" ca="1">"("&amp;TEXT(INDIRECT(ADDRESS(ROW($D$38)+$A73,N$63+2)),"0.0")&amp;"%)"</f>
        <v>(1.4%)</v>
      </c>
      <c r="P73" s="19" cm="1">
        <f t="array" aca="1" ref="P73" ca="1">INDIRECT(ADDRESS(ROW($D$38)+$A73,P$63))</f>
        <v>0</v>
      </c>
      <c r="Q73" s="21" t="str" cm="1">
        <f t="array" aca="1" ref="Q73" ca="1">"("&amp;TEXT(INDIRECT(ADDRESS(ROW($D$38)+$A73,P$63+2)),"0.0")&amp;"%)"</f>
        <v>(0.0%)</v>
      </c>
      <c r="R73" s="19" cm="1">
        <f t="array" aca="1" ref="R73" ca="1">INDIRECT(ADDRESS(ROW($D$38)+$A73,R$63))</f>
        <v>4.6550000000000002</v>
      </c>
      <c r="S73" s="23" t="str" cm="1">
        <f t="array" aca="1" ref="S73" ca="1">"("&amp;TEXT(INDIRECT(ADDRESS(ROW($D$38)+$A73,R$63+2)),"0.0")&amp;"%)"</f>
        <v>(0.3%)</v>
      </c>
      <c r="T73" s="6"/>
    </row>
    <row r="74" spans="1:20" x14ac:dyDescent="0.3">
      <c r="A74" s="1">
        <v>8</v>
      </c>
      <c r="B74" s="6"/>
      <c r="C74" s="6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</row>
    <row r="75" spans="1:20" x14ac:dyDescent="0.3">
      <c r="A75" s="1">
        <v>9</v>
      </c>
      <c r="B75" s="6"/>
      <c r="C75" s="6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</row>
    <row r="76" spans="1:20" x14ac:dyDescent="0.3">
      <c r="A76" s="1">
        <v>10</v>
      </c>
      <c r="B76" s="6"/>
      <c r="C76" s="6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</row>
    <row r="77" spans="1:20" x14ac:dyDescent="0.3">
      <c r="A77" s="1">
        <v>11</v>
      </c>
      <c r="B77" s="6"/>
      <c r="C77" s="6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</row>
    <row r="78" spans="1:20" x14ac:dyDescent="0.3">
      <c r="A78" s="1">
        <v>12</v>
      </c>
      <c r="B78" s="6"/>
      <c r="C78" s="6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</row>
    <row r="79" spans="1:20" x14ac:dyDescent="0.3">
      <c r="A79" s="1">
        <v>13</v>
      </c>
      <c r="B79" s="6"/>
      <c r="C79" s="6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</row>
    <row r="80" spans="1:20" x14ac:dyDescent="0.3">
      <c r="A80" s="1">
        <v>14</v>
      </c>
      <c r="B80" s="6"/>
      <c r="C80" s="6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</row>
    <row r="81" spans="1:20" x14ac:dyDescent="0.3">
      <c r="A81" s="1">
        <v>15</v>
      </c>
      <c r="B81" s="6"/>
      <c r="C81" s="6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</row>
    <row r="82" spans="1:20" x14ac:dyDescent="0.3">
      <c r="A82" s="1">
        <v>16</v>
      </c>
      <c r="B82" s="6"/>
      <c r="C82" s="6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</row>
    <row r="83" spans="1:20" x14ac:dyDescent="0.3">
      <c r="A83" s="1">
        <v>17</v>
      </c>
      <c r="B83" s="6"/>
      <c r="C83" s="6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</row>
    <row r="84" spans="1:20" x14ac:dyDescent="0.3">
      <c r="A84" s="1">
        <v>18</v>
      </c>
      <c r="B84" s="6"/>
      <c r="C84" s="6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</row>
    <row r="85" spans="1:20" x14ac:dyDescent="0.3">
      <c r="A85" s="1">
        <v>19</v>
      </c>
      <c r="B85" s="6"/>
      <c r="C85" s="6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</row>
    <row r="86" spans="1:20" x14ac:dyDescent="0.3">
      <c r="A86" s="1">
        <v>20</v>
      </c>
      <c r="B86" s="6"/>
      <c r="C86" s="6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</row>
    <row r="87" spans="1:20" x14ac:dyDescent="0.3">
      <c r="A87" s="1">
        <v>21</v>
      </c>
      <c r="B87" s="6"/>
      <c r="C87" s="6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</row>
    <row r="88" spans="1:20" x14ac:dyDescent="0.3">
      <c r="A88" s="1">
        <v>22</v>
      </c>
      <c r="B88" s="6"/>
      <c r="C88" s="6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</row>
    <row r="89" spans="1:20" x14ac:dyDescent="0.3">
      <c r="A89" s="1">
        <v>23</v>
      </c>
      <c r="B89" s="6"/>
      <c r="C89" s="6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</row>
    <row r="90" spans="1:20" x14ac:dyDescent="0.3">
      <c r="A90" s="1">
        <v>24</v>
      </c>
      <c r="B90" s="6"/>
      <c r="C90" s="6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</row>
  </sheetData>
  <mergeCells count="8">
    <mergeCell ref="P65:Q65"/>
    <mergeCell ref="R65:S65"/>
    <mergeCell ref="D65:E65"/>
    <mergeCell ref="F65:G65"/>
    <mergeCell ref="H65:I65"/>
    <mergeCell ref="J65:K65"/>
    <mergeCell ref="L65:M65"/>
    <mergeCell ref="N65:O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28FD-31CF-FB45-B449-4E60010B994A}">
  <dimension ref="A5:AC90"/>
  <sheetViews>
    <sheetView topLeftCell="A27" workbookViewId="0">
      <selection activeCell="H80" sqref="H80"/>
    </sheetView>
  </sheetViews>
  <sheetFormatPr baseColWidth="10" defaultRowHeight="24" x14ac:dyDescent="0.3"/>
  <cols>
    <col min="1" max="1" width="10.83203125" style="1"/>
    <col min="2" max="2" width="15.5" style="1" customWidth="1"/>
    <col min="3" max="3" width="18.33203125" style="1" customWidth="1"/>
    <col min="4" max="4" width="9.33203125" style="1" customWidth="1"/>
    <col min="5" max="5" width="11.83203125" style="1" customWidth="1"/>
    <col min="6" max="6" width="9.33203125" style="1" customWidth="1"/>
    <col min="7" max="7" width="11.83203125" style="1" customWidth="1"/>
    <col min="8" max="8" width="9.33203125" style="1" customWidth="1"/>
    <col min="9" max="9" width="11.83203125" style="1" customWidth="1"/>
    <col min="10" max="10" width="9.33203125" style="1" customWidth="1"/>
    <col min="11" max="11" width="11.83203125" style="1" customWidth="1"/>
    <col min="12" max="12" width="9.33203125" style="1" customWidth="1"/>
    <col min="13" max="13" width="11.83203125" style="1" customWidth="1"/>
    <col min="14" max="14" width="9.33203125" style="1" customWidth="1"/>
    <col min="15" max="15" width="11.83203125" style="1" customWidth="1"/>
    <col min="16" max="16" width="9.33203125" style="1" customWidth="1"/>
    <col min="17" max="17" width="11.83203125" style="1" customWidth="1"/>
    <col min="18" max="18" width="9.33203125" style="1" customWidth="1"/>
    <col min="19" max="19" width="11.83203125" style="1" customWidth="1"/>
    <col min="20" max="29" width="20.83203125" style="1" customWidth="1"/>
    <col min="30" max="16384" width="10.83203125" style="1"/>
  </cols>
  <sheetData>
    <row r="5" spans="1:29" x14ac:dyDescent="0.3">
      <c r="B5" s="1" t="s">
        <v>141</v>
      </c>
      <c r="C5" s="5">
        <v>98</v>
      </c>
    </row>
    <row r="6" spans="1:29" x14ac:dyDescent="0.3">
      <c r="C6" s="1" t="s">
        <v>142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</row>
    <row r="10" spans="1:29" ht="100" x14ac:dyDescent="0.3">
      <c r="C10" s="4" t="s">
        <v>140</v>
      </c>
      <c r="D10" s="3" t="s">
        <v>137</v>
      </c>
      <c r="G10" s="3" t="s">
        <v>143</v>
      </c>
      <c r="J10" s="3" t="s">
        <v>138</v>
      </c>
      <c r="M10" s="3" t="s">
        <v>144</v>
      </c>
      <c r="P10" s="3" t="s">
        <v>139</v>
      </c>
      <c r="S10" s="3" t="s">
        <v>145</v>
      </c>
      <c r="V10" s="3" t="s">
        <v>147</v>
      </c>
      <c r="Y10" s="3" t="s">
        <v>146</v>
      </c>
      <c r="AB10" s="3"/>
      <c r="AC10" s="3"/>
    </row>
    <row r="11" spans="1:29" x14ac:dyDescent="0.3">
      <c r="A11" s="1">
        <v>0</v>
      </c>
      <c r="C11" s="1" t="str" cm="1">
        <f t="array" aca="1" ref="C11" ca="1">INDIRECT("RawData!A"&amp;TEXT(C$5+A11,"0"))</f>
        <v>Test7/gfortran.x</v>
      </c>
      <c r="D11" s="1" cm="1">
        <f t="array" aca="1" ref="D11" ca="1">INDIRECT("RawData!"&amp;ADDRESS($C$5+$A11,D$6))</f>
        <v>7.149</v>
      </c>
      <c r="E11" s="1" cm="1">
        <f t="array" aca="1" ref="E11" ca="1">INDIRECT("RawData!"&amp;ADDRESS($C$5+$A11,E$6))</f>
        <v>0.30118</v>
      </c>
      <c r="F11" s="1" cm="1">
        <f t="array" aca="1" ref="F11" ca="1">INDIRECT("RawData!"&amp;ADDRESS($C$5+$A11,F$6))</f>
        <v>4.7620000000000003E-2</v>
      </c>
      <c r="G11" s="1" cm="1">
        <f t="array" aca="1" ref="G11" ca="1">INDIRECT("RawData!"&amp;ADDRESS($C$5+$A11,G$6))</f>
        <v>7.0750000000000002</v>
      </c>
      <c r="H11" s="1" cm="1">
        <f t="array" aca="1" ref="H11" ca="1">INDIRECT("RawData!"&amp;ADDRESS($C$5+$A11,H$6))</f>
        <v>0.27515000000000001</v>
      </c>
      <c r="I11" s="1" cm="1">
        <f t="array" aca="1" ref="I11" ca="1">INDIRECT("RawData!"&amp;ADDRESS($C$5+$A11,I$6))</f>
        <v>4.351E-2</v>
      </c>
      <c r="J11" s="1" cm="1">
        <f t="array" aca="1" ref="J11" ca="1">INDIRECT("RawData!"&amp;ADDRESS($C$5+$A11,J$6))</f>
        <v>5.4080000000000004</v>
      </c>
      <c r="K11" s="1" cm="1">
        <f t="array" aca="1" ref="K11" ca="1">INDIRECT("RawData!"&amp;ADDRESS($C$5+$A11,K$6))</f>
        <v>2.0840000000000001E-2</v>
      </c>
      <c r="L11" s="1" cm="1">
        <f t="array" aca="1" ref="L11" ca="1">INDIRECT("RawData!"&amp;ADDRESS($C$5+$A11,L$6))</f>
        <v>3.29E-3</v>
      </c>
      <c r="M11" s="1" cm="1">
        <f t="array" aca="1" ref="M11" ca="1">INDIRECT("RawData!"&amp;ADDRESS($C$5+$A11,M$6))</f>
        <v>5.4089999999999998</v>
      </c>
      <c r="N11" s="1" cm="1">
        <f t="array" aca="1" ref="N11" ca="1">INDIRECT("RawData!"&amp;ADDRESS($C$5+$A11,N$6))</f>
        <v>1.7940000000000001E-2</v>
      </c>
      <c r="O11" s="1" cm="1">
        <f t="array" aca="1" ref="O11" ca="1">INDIRECT("RawData!"&amp;ADDRESS($C$5+$A11,O$6))</f>
        <v>2.8400000000000001E-3</v>
      </c>
      <c r="P11" s="1" cm="1">
        <f t="array" aca="1" ref="P11" ca="1">INDIRECT("RawData!"&amp;ADDRESS($C$5+$A11,P$6))</f>
        <v>12.074999999999999</v>
      </c>
      <c r="Q11" s="1" cm="1">
        <f t="array" aca="1" ref="Q11" ca="1">INDIRECT("RawData!"&amp;ADDRESS($C$5+$A11,Q$6))</f>
        <v>0.52171000000000001</v>
      </c>
      <c r="R11" s="1" cm="1">
        <f t="array" aca="1" ref="R11" ca="1">INDIRECT("RawData!"&amp;ADDRESS($C$5+$A11,R$6))</f>
        <v>8.2489999999999994E-2</v>
      </c>
      <c r="S11" s="1" cm="1">
        <f t="array" aca="1" ref="S11" ca="1">INDIRECT("RawData!"&amp;ADDRESS($C$5+$A11,S$6))</f>
        <v>12.365</v>
      </c>
      <c r="T11" s="1" cm="1">
        <f t="array" aca="1" ref="T11" ca="1">INDIRECT("RawData!"&amp;ADDRESS($C$5+$A11,T$6))</f>
        <v>1.5661700000000001</v>
      </c>
      <c r="U11" s="1" cm="1">
        <f t="array" aca="1" ref="U11" ca="1">INDIRECT("RawData!"&amp;ADDRESS($C$5+$A11,U$6))</f>
        <v>0.24762999999999999</v>
      </c>
      <c r="V11" s="1" cm="1">
        <f t="array" aca="1" ref="V11" ca="1">INDIRECT("RawData!"&amp;ADDRESS($C$5+$A11,V$6))</f>
        <v>6.5990000000000002</v>
      </c>
      <c r="W11" s="1" cm="1">
        <f t="array" aca="1" ref="W11" ca="1">INDIRECT("RawData!"&amp;ADDRESS($C$5+$A11,W$6))</f>
        <v>5.9479999999999998E-2</v>
      </c>
      <c r="X11" s="1" cm="1">
        <f t="array" aca="1" ref="X11" ca="1">INDIRECT("RawData!"&amp;ADDRESS($C$5+$A11,X$6))</f>
        <v>9.41E-3</v>
      </c>
      <c r="Y11" s="1" cm="1">
        <f t="array" aca="1" ref="Y11" ca="1">INDIRECT("RawData!"&amp;ADDRESS($C$5+$A11,Y$6))</f>
        <v>6.5670000000000002</v>
      </c>
      <c r="Z11" s="1" cm="1">
        <f t="array" aca="1" ref="Z11" ca="1">INDIRECT("RawData!"&amp;ADDRESS($C$5+$A11,Z$6))</f>
        <v>5.2560000000000003E-2</v>
      </c>
      <c r="AA11" s="1" cm="1">
        <f t="array" aca="1" ref="AA11" ca="1">INDIRECT("RawData!"&amp;ADDRESS($C$5+$A11,AA$6))</f>
        <v>8.3099999999999997E-3</v>
      </c>
    </row>
    <row r="12" spans="1:29" x14ac:dyDescent="0.3">
      <c r="A12" s="1">
        <v>1</v>
      </c>
      <c r="C12" s="1" t="str" cm="1">
        <f t="array" aca="1" ref="C12" ca="1">INDIRECT("RawData!A"&amp;TEXT(C$5+A12,"0"))</f>
        <v>Test7/gfortran_o3.x</v>
      </c>
      <c r="D12" s="1" cm="1">
        <f t="array" aca="1" ref="D12" ca="1">INDIRECT("RawData!"&amp;ADDRESS($C$5+$A12,D$6))</f>
        <v>7.2030000000000003</v>
      </c>
      <c r="E12" s="1" cm="1">
        <f t="array" aca="1" ref="E12" ca="1">INDIRECT("RawData!"&amp;ADDRESS($C$5+$A12,E$6))</f>
        <v>0.23727000000000001</v>
      </c>
      <c r="F12" s="1" cm="1">
        <f t="array" aca="1" ref="F12" ca="1">INDIRECT("RawData!"&amp;ADDRESS($C$5+$A12,F$6))</f>
        <v>3.7519999999999998E-2</v>
      </c>
      <c r="G12" s="1" cm="1">
        <f t="array" aca="1" ref="G12" ca="1">INDIRECT("RawData!"&amp;ADDRESS($C$5+$A12,G$6))</f>
        <v>6.9779999999999998</v>
      </c>
      <c r="H12" s="1" cm="1">
        <f t="array" aca="1" ref="H12" ca="1">INDIRECT("RawData!"&amp;ADDRESS($C$5+$A12,H$6))</f>
        <v>0.18922</v>
      </c>
      <c r="I12" s="1" cm="1">
        <f t="array" aca="1" ref="I12" ca="1">INDIRECT("RawData!"&amp;ADDRESS($C$5+$A12,I$6))</f>
        <v>2.9919999999999999E-2</v>
      </c>
      <c r="J12" s="1" cm="1">
        <f t="array" aca="1" ref="J12" ca="1">INDIRECT("RawData!"&amp;ADDRESS($C$5+$A12,J$6))</f>
        <v>5.4349999999999996</v>
      </c>
      <c r="K12" s="1" cm="1">
        <f t="array" aca="1" ref="K12" ca="1">INDIRECT("RawData!"&amp;ADDRESS($C$5+$A12,K$6))</f>
        <v>3.211E-2</v>
      </c>
      <c r="L12" s="1" cm="1">
        <f t="array" aca="1" ref="L12" ca="1">INDIRECT("RawData!"&amp;ADDRESS($C$5+$A12,L$6))</f>
        <v>5.0800000000000003E-3</v>
      </c>
      <c r="M12" s="1" cm="1">
        <f t="array" aca="1" ref="M12" ca="1">INDIRECT("RawData!"&amp;ADDRESS($C$5+$A12,M$6))</f>
        <v>5.4290000000000003</v>
      </c>
      <c r="N12" s="1" cm="1">
        <f t="array" aca="1" ref="N12" ca="1">INDIRECT("RawData!"&amp;ADDRESS($C$5+$A12,N$6))</f>
        <v>3.7699999999999997E-2</v>
      </c>
      <c r="O12" s="1" cm="1">
        <f t="array" aca="1" ref="O12" ca="1">INDIRECT("RawData!"&amp;ADDRESS($C$5+$A12,O$6))</f>
        <v>5.96E-3</v>
      </c>
      <c r="P12" s="1" cm="1">
        <f t="array" aca="1" ref="P12" ca="1">INDIRECT("RawData!"&amp;ADDRESS($C$5+$A12,P$6))</f>
        <v>12.215</v>
      </c>
      <c r="Q12" s="1" cm="1">
        <f t="array" aca="1" ref="Q12" ca="1">INDIRECT("RawData!"&amp;ADDRESS($C$5+$A12,Q$6))</f>
        <v>0.56203999999999998</v>
      </c>
      <c r="R12" s="1" cm="1">
        <f t="array" aca="1" ref="R12" ca="1">INDIRECT("RawData!"&amp;ADDRESS($C$5+$A12,R$6))</f>
        <v>8.8870000000000005E-2</v>
      </c>
      <c r="S12" s="1" cm="1">
        <f t="array" aca="1" ref="S12" ca="1">INDIRECT("RawData!"&amp;ADDRESS($C$5+$A12,S$6))</f>
        <v>12.209</v>
      </c>
      <c r="T12" s="1" cm="1">
        <f t="array" aca="1" ref="T12" ca="1">INDIRECT("RawData!"&amp;ADDRESS($C$5+$A12,T$6))</f>
        <v>0.56623000000000001</v>
      </c>
      <c r="U12" s="1" cm="1">
        <f t="array" aca="1" ref="U12" ca="1">INDIRECT("RawData!"&amp;ADDRESS($C$5+$A12,U$6))</f>
        <v>8.9529999999999998E-2</v>
      </c>
      <c r="V12" s="1" cm="1">
        <f t="array" aca="1" ref="V12" ca="1">INDIRECT("RawData!"&amp;ADDRESS($C$5+$A12,V$6))</f>
        <v>6.5410000000000004</v>
      </c>
      <c r="W12" s="1" cm="1">
        <f t="array" aca="1" ref="W12" ca="1">INDIRECT("RawData!"&amp;ADDRESS($C$5+$A12,W$6))</f>
        <v>4.2569999999999997E-2</v>
      </c>
      <c r="X12" s="1" cm="1">
        <f t="array" aca="1" ref="X12" ca="1">INDIRECT("RawData!"&amp;ADDRESS($C$5+$A12,X$6))</f>
        <v>6.7299999999999999E-3</v>
      </c>
      <c r="Y12" s="1" cm="1">
        <f t="array" aca="1" ref="Y12" ca="1">INDIRECT("RawData!"&amp;ADDRESS($C$5+$A12,Y$6))</f>
        <v>6.5469999999999997</v>
      </c>
      <c r="Z12" s="1" cm="1">
        <f t="array" aca="1" ref="Z12" ca="1">INDIRECT("RawData!"&amp;ADDRESS($C$5+$A12,Z$6))</f>
        <v>3.9559999999999998E-2</v>
      </c>
      <c r="AA12" s="1" cm="1">
        <f t="array" aca="1" ref="AA12" ca="1">INDIRECT("RawData!"&amp;ADDRESS($C$5+$A12,AA$6))</f>
        <v>6.2500000000000003E-3</v>
      </c>
    </row>
    <row r="13" spans="1:29" x14ac:dyDescent="0.3">
      <c r="A13" s="1">
        <v>2</v>
      </c>
      <c r="C13" s="1" t="str" cm="1">
        <f t="array" aca="1" ref="C13" ca="1">INDIRECT("RawData!A"&amp;TEXT(C$5+A13,"0"))</f>
        <v>Test7/ifx.x</v>
      </c>
      <c r="D13" s="1" cm="1">
        <f t="array" aca="1" ref="D13" ca="1">INDIRECT("RawData!"&amp;ADDRESS($C$5+$A13,D$6))</f>
        <v>6.05</v>
      </c>
      <c r="E13" s="1" cm="1">
        <f t="array" aca="1" ref="E13" ca="1">INDIRECT("RawData!"&amp;ADDRESS($C$5+$A13,E$6))</f>
        <v>2.3199299999999998</v>
      </c>
      <c r="F13" s="1" cm="1">
        <f t="array" aca="1" ref="F13" ca="1">INDIRECT("RawData!"&amp;ADDRESS($C$5+$A13,F$6))</f>
        <v>0.36681000000000002</v>
      </c>
      <c r="G13" s="1" cm="1">
        <f t="array" aca="1" ref="G13" ca="1">INDIRECT("RawData!"&amp;ADDRESS($C$5+$A13,G$6))</f>
        <v>4.4000000000000004</v>
      </c>
      <c r="H13" s="1" cm="1">
        <f t="array" aca="1" ref="H13" ca="1">INDIRECT("RawData!"&amp;ADDRESS($C$5+$A13,H$6))</f>
        <v>1.78023</v>
      </c>
      <c r="I13" s="1" cm="1">
        <f t="array" aca="1" ref="I13" ca="1">INDIRECT("RawData!"&amp;ADDRESS($C$5+$A13,I$6))</f>
        <v>0.28148000000000001</v>
      </c>
      <c r="J13" s="1" cm="1">
        <f t="array" aca="1" ref="J13" ca="1">INDIRECT("RawData!"&amp;ADDRESS($C$5+$A13,J$6))</f>
        <v>5.399</v>
      </c>
      <c r="K13" s="1" cm="1">
        <f t="array" aca="1" ref="K13" ca="1">INDIRECT("RawData!"&amp;ADDRESS($C$5+$A13,K$6))</f>
        <v>1.6750000000000001E-2</v>
      </c>
      <c r="L13" s="1" cm="1">
        <f t="array" aca="1" ref="L13" ca="1">INDIRECT("RawData!"&amp;ADDRESS($C$5+$A13,L$6))</f>
        <v>2.65E-3</v>
      </c>
      <c r="M13" s="1" cm="1">
        <f t="array" aca="1" ref="M13" ca="1">INDIRECT("RawData!"&amp;ADDRESS($C$5+$A13,M$6))</f>
        <v>1.998</v>
      </c>
      <c r="N13" s="1" cm="1">
        <f t="array" aca="1" ref="N13" ca="1">INDIRECT("RawData!"&amp;ADDRESS($C$5+$A13,N$6))</f>
        <v>0.11995</v>
      </c>
      <c r="O13" s="1" cm="1">
        <f t="array" aca="1" ref="O13" ca="1">INDIRECT("RawData!"&amp;ADDRESS($C$5+$A13,O$6))</f>
        <v>1.8970000000000001E-2</v>
      </c>
      <c r="P13" s="1" cm="1">
        <f t="array" aca="1" ref="P13" ca="1">INDIRECT("RawData!"&amp;ADDRESS($C$5+$A13,P$6))</f>
        <v>0</v>
      </c>
      <c r="Q13" s="1" cm="1">
        <f t="array" aca="1" ref="Q13" ca="1">INDIRECT("RawData!"&amp;ADDRESS($C$5+$A13,Q$6))</f>
        <v>0</v>
      </c>
      <c r="R13" s="1" cm="1">
        <f t="array" aca="1" ref="R13" ca="1">INDIRECT("RawData!"&amp;ADDRESS($C$5+$A13,R$6))</f>
        <v>0</v>
      </c>
      <c r="S13" s="1" cm="1">
        <f t="array" aca="1" ref="S13" ca="1">INDIRECT("RawData!"&amp;ADDRESS($C$5+$A13,S$6))</f>
        <v>0</v>
      </c>
      <c r="T13" s="1" cm="1">
        <f t="array" aca="1" ref="T13" ca="1">INDIRECT("RawData!"&amp;ADDRESS($C$5+$A13,T$6))</f>
        <v>0</v>
      </c>
      <c r="U13" s="1" cm="1">
        <f t="array" aca="1" ref="U13" ca="1">INDIRECT("RawData!"&amp;ADDRESS($C$5+$A13,U$6))</f>
        <v>0</v>
      </c>
      <c r="V13" s="1" cm="1">
        <f t="array" aca="1" ref="V13" ca="1">INDIRECT("RawData!"&amp;ADDRESS($C$5+$A13,V$6))</f>
        <v>6.5439999999999996</v>
      </c>
      <c r="W13" s="1" cm="1">
        <f t="array" aca="1" ref="W13" ca="1">INDIRECT("RawData!"&amp;ADDRESS($C$5+$A13,W$6))</f>
        <v>5.8639999999999998E-2</v>
      </c>
      <c r="X13" s="1" cm="1">
        <f t="array" aca="1" ref="X13" ca="1">INDIRECT("RawData!"&amp;ADDRESS($C$5+$A13,X$6))</f>
        <v>9.2700000000000005E-3</v>
      </c>
      <c r="Y13" s="1" cm="1">
        <f t="array" aca="1" ref="Y13" ca="1">INDIRECT("RawData!"&amp;ADDRESS($C$5+$A13,Y$6))</f>
        <v>4.6029999999999998</v>
      </c>
      <c r="Z13" s="1" cm="1">
        <f t="array" aca="1" ref="Z13" ca="1">INDIRECT("RawData!"&amp;ADDRESS($C$5+$A13,Z$6))</f>
        <v>4.9299999999999997E-2</v>
      </c>
      <c r="AA13" s="1" cm="1">
        <f t="array" aca="1" ref="AA13" ca="1">INDIRECT("RawData!"&amp;ADDRESS($C$5+$A13,AA$6))</f>
        <v>7.7999999999999996E-3</v>
      </c>
    </row>
    <row r="14" spans="1:29" x14ac:dyDescent="0.3">
      <c r="A14" s="1">
        <v>3</v>
      </c>
      <c r="C14" s="1" t="str" cm="1">
        <f t="array" aca="1" ref="C14" ca="1">INDIRECT("RawData!A"&amp;TEXT(C$5+A14,"0"))</f>
        <v>Test7/ifx_o3.x</v>
      </c>
      <c r="D14" s="1" cm="1">
        <f t="array" aca="1" ref="D14" ca="1">INDIRECT("RawData!"&amp;ADDRESS($C$5+$A14,D$6))</f>
        <v>6.4</v>
      </c>
      <c r="E14" s="1" cm="1">
        <f t="array" aca="1" ref="E14" ca="1">INDIRECT("RawData!"&amp;ADDRESS($C$5+$A14,E$6))</f>
        <v>1.8508500000000001</v>
      </c>
      <c r="F14" s="1" cm="1">
        <f t="array" aca="1" ref="F14" ca="1">INDIRECT("RawData!"&amp;ADDRESS($C$5+$A14,F$6))</f>
        <v>0.29264000000000001</v>
      </c>
      <c r="G14" s="1" cm="1">
        <f t="array" aca="1" ref="G14" ca="1">INDIRECT("RawData!"&amp;ADDRESS($C$5+$A14,G$6))</f>
        <v>4.1749999999999998</v>
      </c>
      <c r="H14" s="1" cm="1">
        <f t="array" aca="1" ref="H14" ca="1">INDIRECT("RawData!"&amp;ADDRESS($C$5+$A14,H$6))</f>
        <v>0.59431</v>
      </c>
      <c r="I14" s="1" cm="1">
        <f t="array" aca="1" ref="I14" ca="1">INDIRECT("RawData!"&amp;ADDRESS($C$5+$A14,I$6))</f>
        <v>9.3969999999999998E-2</v>
      </c>
      <c r="J14" s="1" cm="1">
        <f t="array" aca="1" ref="J14" ca="1">INDIRECT("RawData!"&amp;ADDRESS($C$5+$A14,J$6))</f>
        <v>5.4119999999999999</v>
      </c>
      <c r="K14" s="1" cm="1">
        <f t="array" aca="1" ref="K14" ca="1">INDIRECT("RawData!"&amp;ADDRESS($C$5+$A14,K$6))</f>
        <v>2.4629999999999999E-2</v>
      </c>
      <c r="L14" s="1" cm="1">
        <f t="array" aca="1" ref="L14" ca="1">INDIRECT("RawData!"&amp;ADDRESS($C$5+$A14,L$6))</f>
        <v>3.8899999999999998E-3</v>
      </c>
      <c r="M14" s="1" cm="1">
        <f t="array" aca="1" ref="M14" ca="1">INDIRECT("RawData!"&amp;ADDRESS($C$5+$A14,M$6))</f>
        <v>1.956</v>
      </c>
      <c r="N14" s="1" cm="1">
        <f t="array" aca="1" ref="N14" ca="1">INDIRECT("RawData!"&amp;ADDRESS($C$5+$A14,N$6))</f>
        <v>0.10997999999999999</v>
      </c>
      <c r="O14" s="1" cm="1">
        <f t="array" aca="1" ref="O14" ca="1">INDIRECT("RawData!"&amp;ADDRESS($C$5+$A14,O$6))</f>
        <v>1.7389999999999999E-2</v>
      </c>
      <c r="P14" s="1" cm="1">
        <f t="array" aca="1" ref="P14" ca="1">INDIRECT("RawData!"&amp;ADDRESS($C$5+$A14,P$6))</f>
        <v>0</v>
      </c>
      <c r="Q14" s="1" cm="1">
        <f t="array" aca="1" ref="Q14" ca="1">INDIRECT("RawData!"&amp;ADDRESS($C$5+$A14,Q$6))</f>
        <v>0</v>
      </c>
      <c r="R14" s="1" cm="1">
        <f t="array" aca="1" ref="R14" ca="1">INDIRECT("RawData!"&amp;ADDRESS($C$5+$A14,R$6))</f>
        <v>0</v>
      </c>
      <c r="S14" s="1" cm="1">
        <f t="array" aca="1" ref="S14" ca="1">INDIRECT("RawData!"&amp;ADDRESS($C$5+$A14,S$6))</f>
        <v>0</v>
      </c>
      <c r="T14" s="1" cm="1">
        <f t="array" aca="1" ref="T14" ca="1">INDIRECT("RawData!"&amp;ADDRESS($C$5+$A14,T$6))</f>
        <v>0</v>
      </c>
      <c r="U14" s="1" cm="1">
        <f t="array" aca="1" ref="U14" ca="1">INDIRECT("RawData!"&amp;ADDRESS($C$5+$A14,U$6))</f>
        <v>0</v>
      </c>
      <c r="V14" s="1" cm="1">
        <f t="array" aca="1" ref="V14" ca="1">INDIRECT("RawData!"&amp;ADDRESS($C$5+$A14,V$6))</f>
        <v>6.5609999999999999</v>
      </c>
      <c r="W14" s="1" cm="1">
        <f t="array" aca="1" ref="W14" ca="1">INDIRECT("RawData!"&amp;ADDRESS($C$5+$A14,W$6))</f>
        <v>6.6629999999999995E-2</v>
      </c>
      <c r="X14" s="1" cm="1">
        <f t="array" aca="1" ref="X14" ca="1">INDIRECT("RawData!"&amp;ADDRESS($C$5+$A14,X$6))</f>
        <v>1.0540000000000001E-2</v>
      </c>
      <c r="Y14" s="1" cm="1">
        <f t="array" aca="1" ref="Y14" ca="1">INDIRECT("RawData!"&amp;ADDRESS($C$5+$A14,Y$6))</f>
        <v>4.5999999999999996</v>
      </c>
      <c r="Z14" s="1" cm="1">
        <f t="array" aca="1" ref="Z14" ca="1">INDIRECT("RawData!"&amp;ADDRESS($C$5+$A14,Z$6))</f>
        <v>4.9160000000000002E-2</v>
      </c>
      <c r="AA14" s="1" cm="1">
        <f t="array" aca="1" ref="AA14" ca="1">INDIRECT("RawData!"&amp;ADDRESS($C$5+$A14,AA$6))</f>
        <v>7.77E-3</v>
      </c>
    </row>
    <row r="15" spans="1:29" x14ac:dyDescent="0.3">
      <c r="A15" s="1">
        <v>4</v>
      </c>
      <c r="C15" s="1" t="str" cm="1">
        <f t="array" aca="1" ref="C15" ca="1">INDIRECT("RawData!A"&amp;TEXT(C$5+A15,"0"))</f>
        <v>Test7/gpp.x</v>
      </c>
      <c r="D15" s="1" cm="1">
        <f t="array" aca="1" ref="D15" ca="1">INDIRECT("RawData!"&amp;ADDRESS($C$5+$A15,D$6))</f>
        <v>7.1029999999999998</v>
      </c>
      <c r="E15" s="1" cm="1">
        <f t="array" aca="1" ref="E15" ca="1">INDIRECT("RawData!"&amp;ADDRESS($C$5+$A15,E$6))</f>
        <v>0.18726000000000001</v>
      </c>
      <c r="F15" s="1" cm="1">
        <f t="array" aca="1" ref="F15" ca="1">INDIRECT("RawData!"&amp;ADDRESS($C$5+$A15,F$6))</f>
        <v>2.9610000000000001E-2</v>
      </c>
      <c r="G15" s="1" cm="1">
        <f t="array" aca="1" ref="G15" ca="1">INDIRECT("RawData!"&amp;ADDRESS($C$5+$A15,G$6))</f>
        <v>7.2619999999999996</v>
      </c>
      <c r="H15" s="1" cm="1">
        <f t="array" aca="1" ref="H15" ca="1">INDIRECT("RawData!"&amp;ADDRESS($C$5+$A15,H$6))</f>
        <v>0.23219000000000001</v>
      </c>
      <c r="I15" s="1" cm="1">
        <f t="array" aca="1" ref="I15" ca="1">INDIRECT("RawData!"&amp;ADDRESS($C$5+$A15,I$6))</f>
        <v>3.671E-2</v>
      </c>
      <c r="J15" s="1" cm="1">
        <f t="array" aca="1" ref="J15" ca="1">INDIRECT("RawData!"&amp;ADDRESS($C$5+$A15,J$6))</f>
        <v>32.514000000000003</v>
      </c>
      <c r="K15" s="1" cm="1">
        <f t="array" aca="1" ref="K15" ca="1">INDIRECT("RawData!"&amp;ADDRESS($C$5+$A15,K$6))</f>
        <v>0.17616000000000001</v>
      </c>
      <c r="L15" s="1" cm="1">
        <f t="array" aca="1" ref="L15" ca="1">INDIRECT("RawData!"&amp;ADDRESS($C$5+$A15,L$6))</f>
        <v>2.785E-2</v>
      </c>
      <c r="M15" s="1" cm="1">
        <f t="array" aca="1" ref="M15" ca="1">INDIRECT("RawData!"&amp;ADDRESS($C$5+$A15,M$6))</f>
        <v>27.06</v>
      </c>
      <c r="N15" s="1" cm="1">
        <f t="array" aca="1" ref="N15" ca="1">INDIRECT("RawData!"&amp;ADDRESS($C$5+$A15,N$6))</f>
        <v>0.12662999999999999</v>
      </c>
      <c r="O15" s="1" cm="1">
        <f t="array" aca="1" ref="O15" ca="1">INDIRECT("RawData!"&amp;ADDRESS($C$5+$A15,O$6))</f>
        <v>2.002E-2</v>
      </c>
      <c r="P15" s="1" cm="1">
        <f t="array" aca="1" ref="P15" ca="1">INDIRECT("RawData!"&amp;ADDRESS($C$5+$A15,P$6))</f>
        <v>11.99</v>
      </c>
      <c r="Q15" s="1" cm="1">
        <f t="array" aca="1" ref="Q15" ca="1">INDIRECT("RawData!"&amp;ADDRESS($C$5+$A15,Q$6))</f>
        <v>0.72960999999999998</v>
      </c>
      <c r="R15" s="1" cm="1">
        <f t="array" aca="1" ref="R15" ca="1">INDIRECT("RawData!"&amp;ADDRESS($C$5+$A15,R$6))</f>
        <v>0.11536</v>
      </c>
      <c r="S15" s="1" cm="1">
        <f t="array" aca="1" ref="S15" ca="1">INDIRECT("RawData!"&amp;ADDRESS($C$5+$A15,S$6))</f>
        <v>12.045999999999999</v>
      </c>
      <c r="T15" s="1" cm="1">
        <f t="array" aca="1" ref="T15" ca="1">INDIRECT("RawData!"&amp;ADDRESS($C$5+$A15,T$6))</f>
        <v>0.73326000000000002</v>
      </c>
      <c r="U15" s="1" cm="1">
        <f t="array" aca="1" ref="U15" ca="1">INDIRECT("RawData!"&amp;ADDRESS($C$5+$A15,U$6))</f>
        <v>0.11594</v>
      </c>
      <c r="V15" s="1" cm="1">
        <f t="array" aca="1" ref="V15" ca="1">INDIRECT("RawData!"&amp;ADDRESS($C$5+$A15,V$6))</f>
        <v>18.776</v>
      </c>
      <c r="W15" s="1" cm="1">
        <f t="array" aca="1" ref="W15" ca="1">INDIRECT("RawData!"&amp;ADDRESS($C$5+$A15,W$6))</f>
        <v>0.12418</v>
      </c>
      <c r="X15" s="1" cm="1">
        <f t="array" aca="1" ref="X15" ca="1">INDIRECT("RawData!"&amp;ADDRESS($C$5+$A15,X$6))</f>
        <v>1.9630000000000002E-2</v>
      </c>
      <c r="Y15" s="1" cm="1">
        <f t="array" aca="1" ref="Y15" ca="1">INDIRECT("RawData!"&amp;ADDRESS($C$5+$A15,Y$6))</f>
        <v>18.713999999999999</v>
      </c>
      <c r="Z15" s="1" cm="1">
        <f t="array" aca="1" ref="Z15" ca="1">INDIRECT("RawData!"&amp;ADDRESS($C$5+$A15,Z$6))</f>
        <v>4.9500000000000002E-2</v>
      </c>
      <c r="AA15" s="1" cm="1">
        <f t="array" aca="1" ref="AA15" ca="1">INDIRECT("RawData!"&amp;ADDRESS($C$5+$A15,AA$6))</f>
        <v>7.8300000000000002E-3</v>
      </c>
    </row>
    <row r="16" spans="1:29" x14ac:dyDescent="0.3">
      <c r="A16" s="1">
        <v>5</v>
      </c>
      <c r="C16" s="1" t="str" cm="1">
        <f t="array" aca="1" ref="C16" ca="1">INDIRECT("RawData!A"&amp;TEXT(C$5+A16,"0"))</f>
        <v>Test7/gpp_o3.x</v>
      </c>
      <c r="D16" s="1" cm="1">
        <f t="array" aca="1" ref="D16" ca="1">INDIRECT("RawData!"&amp;ADDRESS($C$5+$A16,D$6))</f>
        <v>7.1879999999999997</v>
      </c>
      <c r="E16" s="1" cm="1">
        <f t="array" aca="1" ref="E16" ca="1">INDIRECT("RawData!"&amp;ADDRESS($C$5+$A16,E$6))</f>
        <v>0.24834999999999999</v>
      </c>
      <c r="F16" s="1" cm="1">
        <f t="array" aca="1" ref="F16" ca="1">INDIRECT("RawData!"&amp;ADDRESS($C$5+$A16,F$6))</f>
        <v>3.9269999999999999E-2</v>
      </c>
      <c r="G16" s="1" cm="1">
        <f t="array" aca="1" ref="G16" ca="1">INDIRECT("RawData!"&amp;ADDRESS($C$5+$A16,G$6))</f>
        <v>7.0309999999999997</v>
      </c>
      <c r="H16" s="1" cm="1">
        <f t="array" aca="1" ref="H16" ca="1">INDIRECT("RawData!"&amp;ADDRESS($C$5+$A16,H$6))</f>
        <v>0.20705999999999999</v>
      </c>
      <c r="I16" s="1" cm="1">
        <f t="array" aca="1" ref="I16" ca="1">INDIRECT("RawData!"&amp;ADDRESS($C$5+$A16,I$6))</f>
        <v>3.2739999999999998E-2</v>
      </c>
      <c r="J16" s="1" cm="1">
        <f t="array" aca="1" ref="J16" ca="1">INDIRECT("RawData!"&amp;ADDRESS($C$5+$A16,J$6))</f>
        <v>18.853000000000002</v>
      </c>
      <c r="K16" s="1" cm="1">
        <f t="array" aca="1" ref="K16" ca="1">INDIRECT("RawData!"&amp;ADDRESS($C$5+$A16,K$6))</f>
        <v>6.0920000000000002E-2</v>
      </c>
      <c r="L16" s="1" cm="1">
        <f t="array" aca="1" ref="L16" ca="1">INDIRECT("RawData!"&amp;ADDRESS($C$5+$A16,L$6))</f>
        <v>9.6299999999999997E-3</v>
      </c>
      <c r="M16" s="1" cm="1">
        <f t="array" aca="1" ref="M16" ca="1">INDIRECT("RawData!"&amp;ADDRESS($C$5+$A16,M$6))</f>
        <v>8.0909999999999993</v>
      </c>
      <c r="N16" s="1" cm="1">
        <f t="array" aca="1" ref="N16" ca="1">INDIRECT("RawData!"&amp;ADDRESS($C$5+$A16,N$6))</f>
        <v>3.2309999999999998E-2</v>
      </c>
      <c r="O16" s="1" cm="1">
        <f t="array" aca="1" ref="O16" ca="1">INDIRECT("RawData!"&amp;ADDRESS($C$5+$A16,O$6))</f>
        <v>5.11E-3</v>
      </c>
      <c r="P16" s="1" cm="1">
        <f t="array" aca="1" ref="P16" ca="1">INDIRECT("RawData!"&amp;ADDRESS($C$5+$A16,P$6))</f>
        <v>11.964</v>
      </c>
      <c r="Q16" s="1" cm="1">
        <f t="array" aca="1" ref="Q16" ca="1">INDIRECT("RawData!"&amp;ADDRESS($C$5+$A16,Q$6))</f>
        <v>0.55754999999999999</v>
      </c>
      <c r="R16" s="1" cm="1">
        <f t="array" aca="1" ref="R16" ca="1">INDIRECT("RawData!"&amp;ADDRESS($C$5+$A16,R$6))</f>
        <v>8.8160000000000002E-2</v>
      </c>
      <c r="S16" s="1" cm="1">
        <f t="array" aca="1" ref="S16" ca="1">INDIRECT("RawData!"&amp;ADDRESS($C$5+$A16,S$6))</f>
        <v>12.285</v>
      </c>
      <c r="T16" s="1" cm="1">
        <f t="array" aca="1" ref="T16" ca="1">INDIRECT("RawData!"&amp;ADDRESS($C$5+$A16,T$6))</f>
        <v>0.60968</v>
      </c>
      <c r="U16" s="1" cm="1">
        <f t="array" aca="1" ref="U16" ca="1">INDIRECT("RawData!"&amp;ADDRESS($C$5+$A16,U$6))</f>
        <v>9.64E-2</v>
      </c>
      <c r="V16" s="1" cm="1">
        <f t="array" aca="1" ref="V16" ca="1">INDIRECT("RawData!"&amp;ADDRESS($C$5+$A16,V$6))</f>
        <v>12.433</v>
      </c>
      <c r="W16" s="1" cm="1">
        <f t="array" aca="1" ref="W16" ca="1">INDIRECT("RawData!"&amp;ADDRESS($C$5+$A16,W$6))</f>
        <v>0.10678</v>
      </c>
      <c r="X16" s="1" cm="1">
        <f t="array" aca="1" ref="X16" ca="1">INDIRECT("RawData!"&amp;ADDRESS($C$5+$A16,X$6))</f>
        <v>1.6879999999999999E-2</v>
      </c>
      <c r="Y16" s="1" cm="1">
        <f t="array" aca="1" ref="Y16" ca="1">INDIRECT("RawData!"&amp;ADDRESS($C$5+$A16,Y$6))</f>
        <v>9.6110000000000007</v>
      </c>
      <c r="Z16" s="1" cm="1">
        <f t="array" aca="1" ref="Z16" ca="1">INDIRECT("RawData!"&amp;ADDRESS($C$5+$A16,Z$6))</f>
        <v>5.3280000000000001E-2</v>
      </c>
      <c r="AA16" s="1" cm="1">
        <f t="array" aca="1" ref="AA16" ca="1">INDIRECT("RawData!"&amp;ADDRESS($C$5+$A16,AA$6))</f>
        <v>8.4200000000000004E-3</v>
      </c>
    </row>
    <row r="17" spans="1:27" x14ac:dyDescent="0.3">
      <c r="A17" s="1">
        <v>6</v>
      </c>
      <c r="C17" s="1" t="str" cm="1">
        <f t="array" aca="1" ref="C17" ca="1">INDIRECT("RawData!A"&amp;TEXT(C$5+A17,"0"))</f>
        <v>Test7/icx.x</v>
      </c>
      <c r="D17" s="1" cm="1">
        <f t="array" aca="1" ref="D17" ca="1">INDIRECT("RawData!"&amp;ADDRESS($C$5+$A17,D$6))</f>
        <v>4.6509999999999998</v>
      </c>
      <c r="E17" s="1" cm="1">
        <f t="array" aca="1" ref="E17" ca="1">INDIRECT("RawData!"&amp;ADDRESS($C$5+$A17,E$6))</f>
        <v>0.42122999999999999</v>
      </c>
      <c r="F17" s="1" cm="1">
        <f t="array" aca="1" ref="F17" ca="1">INDIRECT("RawData!"&amp;ADDRESS($C$5+$A17,F$6))</f>
        <v>6.6600000000000006E-2</v>
      </c>
      <c r="G17" s="1" cm="1">
        <f t="array" aca="1" ref="G17" ca="1">INDIRECT("RawData!"&amp;ADDRESS($C$5+$A17,G$6))</f>
        <v>4.032</v>
      </c>
      <c r="H17" s="1" cm="1">
        <f t="array" aca="1" ref="H17" ca="1">INDIRECT("RawData!"&amp;ADDRESS($C$5+$A17,H$6))</f>
        <v>0.24301</v>
      </c>
      <c r="I17" s="1" cm="1">
        <f t="array" aca="1" ref="I17" ca="1">INDIRECT("RawData!"&amp;ADDRESS($C$5+$A17,I$6))</f>
        <v>3.8420000000000003E-2</v>
      </c>
      <c r="J17" s="1" cm="1">
        <f t="array" aca="1" ref="J17" ca="1">INDIRECT("RawData!"&amp;ADDRESS($C$5+$A17,J$6))</f>
        <v>1.903</v>
      </c>
      <c r="K17" s="1" cm="1">
        <f t="array" aca="1" ref="K17" ca="1">INDIRECT("RawData!"&amp;ADDRESS($C$5+$A17,K$6))</f>
        <v>0.11436</v>
      </c>
      <c r="L17" s="1" cm="1">
        <f t="array" aca="1" ref="L17" ca="1">INDIRECT("RawData!"&amp;ADDRESS($C$5+$A17,L$6))</f>
        <v>1.8079999999999999E-2</v>
      </c>
      <c r="M17" s="1" cm="1">
        <f t="array" aca="1" ref="M17" ca="1">INDIRECT("RawData!"&amp;ADDRESS($C$5+$A17,M$6))</f>
        <v>1.861</v>
      </c>
      <c r="N17" s="1" cm="1">
        <f t="array" aca="1" ref="N17" ca="1">INDIRECT("RawData!"&amp;ADDRESS($C$5+$A17,N$6))</f>
        <v>0.16311</v>
      </c>
      <c r="O17" s="1" cm="1">
        <f t="array" aca="1" ref="O17" ca="1">INDIRECT("RawData!"&amp;ADDRESS($C$5+$A17,O$6))</f>
        <v>2.579E-2</v>
      </c>
      <c r="P17" s="1" cm="1">
        <f t="array" aca="1" ref="P17" ca="1">INDIRECT("RawData!"&amp;ADDRESS($C$5+$A17,P$6))</f>
        <v>0</v>
      </c>
      <c r="Q17" s="1" cm="1">
        <f t="array" aca="1" ref="Q17" ca="1">INDIRECT("RawData!"&amp;ADDRESS($C$5+$A17,Q$6))</f>
        <v>0</v>
      </c>
      <c r="R17" s="1" cm="1">
        <f t="array" aca="1" ref="R17" ca="1">INDIRECT("RawData!"&amp;ADDRESS($C$5+$A17,R$6))</f>
        <v>0</v>
      </c>
      <c r="S17" s="1" cm="1">
        <f t="array" aca="1" ref="S17" ca="1">INDIRECT("RawData!"&amp;ADDRESS($C$5+$A17,S$6))</f>
        <v>0</v>
      </c>
      <c r="T17" s="1" cm="1">
        <f t="array" aca="1" ref="T17" ca="1">INDIRECT("RawData!"&amp;ADDRESS($C$5+$A17,T$6))</f>
        <v>0</v>
      </c>
      <c r="U17" s="1" cm="1">
        <f t="array" aca="1" ref="U17" ca="1">INDIRECT("RawData!"&amp;ADDRESS($C$5+$A17,U$6))</f>
        <v>0</v>
      </c>
      <c r="V17" s="1" cm="1">
        <f t="array" aca="1" ref="V17" ca="1">INDIRECT("RawData!"&amp;ADDRESS($C$5+$A17,V$6))</f>
        <v>5.3170000000000002</v>
      </c>
      <c r="W17" s="1" cm="1">
        <f t="array" aca="1" ref="W17" ca="1">INDIRECT("RawData!"&amp;ADDRESS($C$5+$A17,W$6))</f>
        <v>0.16911999999999999</v>
      </c>
      <c r="X17" s="1" cm="1">
        <f t="array" aca="1" ref="X17" ca="1">INDIRECT("RawData!"&amp;ADDRESS($C$5+$A17,X$6))</f>
        <v>2.674E-2</v>
      </c>
      <c r="Y17" s="1" cm="1">
        <f t="array" aca="1" ref="Y17" ca="1">INDIRECT("RawData!"&amp;ADDRESS($C$5+$A17,Y$6))</f>
        <v>4.6340000000000003</v>
      </c>
      <c r="Z17" s="1" cm="1">
        <f t="array" aca="1" ref="Z17" ca="1">INDIRECT("RawData!"&amp;ADDRESS($C$5+$A17,Z$6))</f>
        <v>5.5300000000000002E-2</v>
      </c>
      <c r="AA17" s="1" cm="1">
        <f t="array" aca="1" ref="AA17" ca="1">INDIRECT("RawData!"&amp;ADDRESS($C$5+$A17,AA$6))</f>
        <v>8.7399999999999995E-3</v>
      </c>
    </row>
    <row r="18" spans="1:27" x14ac:dyDescent="0.3">
      <c r="A18" s="1">
        <v>7</v>
      </c>
      <c r="C18" s="1" t="str" cm="1">
        <f t="array" aca="1" ref="C18" ca="1">INDIRECT("RawData!A"&amp;TEXT(C$5+A18,"0"))</f>
        <v>Test7/icx_o3.x</v>
      </c>
      <c r="D18" s="1" cm="1">
        <f t="array" aca="1" ref="D18" ca="1">INDIRECT("RawData!"&amp;ADDRESS($C$5+$A18,D$6))</f>
        <v>4.5759999999999996</v>
      </c>
      <c r="E18" s="1" cm="1">
        <f t="array" aca="1" ref="E18" ca="1">INDIRECT("RawData!"&amp;ADDRESS($C$5+$A18,E$6))</f>
        <v>0.35281000000000001</v>
      </c>
      <c r="F18" s="1" cm="1">
        <f t="array" aca="1" ref="F18" ca="1">INDIRECT("RawData!"&amp;ADDRESS($C$5+$A18,F$6))</f>
        <v>5.5780000000000003E-2</v>
      </c>
      <c r="G18" s="1" cm="1">
        <f t="array" aca="1" ref="G18" ca="1">INDIRECT("RawData!"&amp;ADDRESS($C$5+$A18,G$6))</f>
        <v>4.069</v>
      </c>
      <c r="H18" s="1" cm="1">
        <f t="array" aca="1" ref="H18" ca="1">INDIRECT("RawData!"&amp;ADDRESS($C$5+$A18,H$6))</f>
        <v>0.30093999999999999</v>
      </c>
      <c r="I18" s="1" cm="1">
        <f t="array" aca="1" ref="I18" ca="1">INDIRECT("RawData!"&amp;ADDRESS($C$5+$A18,I$6))</f>
        <v>4.7579999999999997E-2</v>
      </c>
      <c r="J18" s="1" cm="1">
        <f t="array" aca="1" ref="J18" ca="1">INDIRECT("RawData!"&amp;ADDRESS($C$5+$A18,J$6))</f>
        <v>1.9219999999999999</v>
      </c>
      <c r="K18" s="1" cm="1">
        <f t="array" aca="1" ref="K18" ca="1">INDIRECT("RawData!"&amp;ADDRESS($C$5+$A18,K$6))</f>
        <v>0.13674</v>
      </c>
      <c r="L18" s="1" cm="1">
        <f t="array" aca="1" ref="L18" ca="1">INDIRECT("RawData!"&amp;ADDRESS($C$5+$A18,L$6))</f>
        <v>2.162E-2</v>
      </c>
      <c r="M18" s="1" cm="1">
        <f t="array" aca="1" ref="M18" ca="1">INDIRECT("RawData!"&amp;ADDRESS($C$5+$A18,M$6))</f>
        <v>1.837</v>
      </c>
      <c r="N18" s="1" cm="1">
        <f t="array" aca="1" ref="N18" ca="1">INDIRECT("RawData!"&amp;ADDRESS($C$5+$A18,N$6))</f>
        <v>0.15390999999999999</v>
      </c>
      <c r="O18" s="1" cm="1">
        <f t="array" aca="1" ref="O18" ca="1">INDIRECT("RawData!"&amp;ADDRESS($C$5+$A18,O$6))</f>
        <v>2.4340000000000001E-2</v>
      </c>
      <c r="P18" s="1" cm="1">
        <f t="array" aca="1" ref="P18" ca="1">INDIRECT("RawData!"&amp;ADDRESS($C$5+$A18,P$6))</f>
        <v>0</v>
      </c>
      <c r="Q18" s="1" cm="1">
        <f t="array" aca="1" ref="Q18" ca="1">INDIRECT("RawData!"&amp;ADDRESS($C$5+$A18,Q$6))</f>
        <v>0</v>
      </c>
      <c r="R18" s="1" cm="1">
        <f t="array" aca="1" ref="R18" ca="1">INDIRECT("RawData!"&amp;ADDRESS($C$5+$A18,R$6))</f>
        <v>0</v>
      </c>
      <c r="S18" s="1" cm="1">
        <f t="array" aca="1" ref="S18" ca="1">INDIRECT("RawData!"&amp;ADDRESS($C$5+$A18,S$6))</f>
        <v>0</v>
      </c>
      <c r="T18" s="1" cm="1">
        <f t="array" aca="1" ref="T18" ca="1">INDIRECT("RawData!"&amp;ADDRESS($C$5+$A18,T$6))</f>
        <v>0</v>
      </c>
      <c r="U18" s="1" cm="1">
        <f t="array" aca="1" ref="U18" ca="1">INDIRECT("RawData!"&amp;ADDRESS($C$5+$A18,U$6))</f>
        <v>0</v>
      </c>
      <c r="V18" s="1" cm="1">
        <f t="array" aca="1" ref="V18" ca="1">INDIRECT("RawData!"&amp;ADDRESS($C$5+$A18,V$6))</f>
        <v>5.3029999999999999</v>
      </c>
      <c r="W18" s="1" cm="1">
        <f t="array" aca="1" ref="W18" ca="1">INDIRECT("RawData!"&amp;ADDRESS($C$5+$A18,W$6))</f>
        <v>0.17874000000000001</v>
      </c>
      <c r="X18" s="1" cm="1">
        <f t="array" aca="1" ref="X18" ca="1">INDIRECT("RawData!"&amp;ADDRESS($C$5+$A18,X$6))</f>
        <v>2.826E-2</v>
      </c>
      <c r="Y18" s="1" cm="1">
        <f t="array" aca="1" ref="Y18" ca="1">INDIRECT("RawData!"&amp;ADDRESS($C$5+$A18,Y$6))</f>
        <v>4.6500000000000004</v>
      </c>
      <c r="Z18" s="1" cm="1">
        <f t="array" aca="1" ref="Z18" ca="1">INDIRECT("RawData!"&amp;ADDRESS($C$5+$A18,Z$6))</f>
        <v>5.6890000000000003E-2</v>
      </c>
      <c r="AA18" s="1" cm="1">
        <f t="array" aca="1" ref="AA18" ca="1">INDIRECT("RawData!"&amp;ADDRESS($C$5+$A18,AA$6))</f>
        <v>8.9899999999999997E-3</v>
      </c>
    </row>
    <row r="19" spans="1:27" x14ac:dyDescent="0.3">
      <c r="A19" s="1">
        <v>8</v>
      </c>
    </row>
    <row r="20" spans="1:27" x14ac:dyDescent="0.3">
      <c r="A20" s="1">
        <v>9</v>
      </c>
    </row>
    <row r="21" spans="1:27" x14ac:dyDescent="0.3">
      <c r="A21" s="1">
        <v>10</v>
      </c>
    </row>
    <row r="22" spans="1:27" x14ac:dyDescent="0.3">
      <c r="A22" s="1">
        <v>11</v>
      </c>
    </row>
    <row r="23" spans="1:27" x14ac:dyDescent="0.3">
      <c r="A23" s="1">
        <v>12</v>
      </c>
    </row>
    <row r="24" spans="1:27" x14ac:dyDescent="0.3">
      <c r="A24" s="1">
        <v>13</v>
      </c>
    </row>
    <row r="25" spans="1:27" x14ac:dyDescent="0.3">
      <c r="A25" s="1">
        <v>14</v>
      </c>
    </row>
    <row r="26" spans="1:27" x14ac:dyDescent="0.3">
      <c r="A26" s="1">
        <v>15</v>
      </c>
    </row>
    <row r="27" spans="1:27" x14ac:dyDescent="0.3">
      <c r="A27" s="1">
        <v>16</v>
      </c>
    </row>
    <row r="28" spans="1:27" x14ac:dyDescent="0.3">
      <c r="A28" s="1">
        <v>17</v>
      </c>
    </row>
    <row r="29" spans="1:27" x14ac:dyDescent="0.3">
      <c r="A29" s="1">
        <v>18</v>
      </c>
    </row>
    <row r="30" spans="1:27" x14ac:dyDescent="0.3">
      <c r="A30" s="1">
        <v>19</v>
      </c>
    </row>
    <row r="31" spans="1:27" x14ac:dyDescent="0.3">
      <c r="A31" s="1">
        <v>20</v>
      </c>
    </row>
    <row r="32" spans="1:27" x14ac:dyDescent="0.3">
      <c r="A32" s="1">
        <v>21</v>
      </c>
    </row>
    <row r="33" spans="1:27" x14ac:dyDescent="0.3">
      <c r="A33" s="1">
        <v>22</v>
      </c>
    </row>
    <row r="34" spans="1:27" x14ac:dyDescent="0.3">
      <c r="A34" s="1">
        <v>23</v>
      </c>
    </row>
    <row r="35" spans="1:27" x14ac:dyDescent="0.3">
      <c r="A35" s="1">
        <v>24</v>
      </c>
    </row>
    <row r="36" spans="1:27" x14ac:dyDescent="0.3">
      <c r="A36" s="1">
        <v>1</v>
      </c>
      <c r="B36" s="1">
        <v>2</v>
      </c>
      <c r="C36" s="1">
        <v>3</v>
      </c>
      <c r="D36" s="1">
        <v>4</v>
      </c>
      <c r="E36" s="1">
        <v>5</v>
      </c>
      <c r="F36" s="1">
        <v>6</v>
      </c>
      <c r="G36" s="1">
        <v>7</v>
      </c>
      <c r="H36" s="1">
        <v>8</v>
      </c>
      <c r="I36" s="1">
        <v>9</v>
      </c>
      <c r="J36" s="1">
        <v>10</v>
      </c>
      <c r="K36" s="1">
        <v>11</v>
      </c>
      <c r="L36" s="1">
        <v>12</v>
      </c>
      <c r="M36" s="1">
        <v>13</v>
      </c>
      <c r="N36" s="1">
        <v>14</v>
      </c>
      <c r="O36" s="1">
        <v>15</v>
      </c>
      <c r="P36" s="1">
        <v>16</v>
      </c>
      <c r="Q36" s="1">
        <v>17</v>
      </c>
      <c r="R36" s="1">
        <v>18</v>
      </c>
      <c r="S36" s="1">
        <v>19</v>
      </c>
      <c r="T36" s="1">
        <v>20</v>
      </c>
      <c r="U36" s="1">
        <v>21</v>
      </c>
      <c r="V36" s="1">
        <v>22</v>
      </c>
      <c r="W36" s="1">
        <v>23</v>
      </c>
      <c r="X36" s="1">
        <v>24</v>
      </c>
      <c r="Y36" s="1">
        <v>25</v>
      </c>
      <c r="Z36" s="1">
        <v>26</v>
      </c>
      <c r="AA36" s="1">
        <v>27</v>
      </c>
    </row>
    <row r="37" spans="1:27" ht="100" x14ac:dyDescent="0.3">
      <c r="C37" s="4" t="s">
        <v>140</v>
      </c>
      <c r="D37" s="3" t="s">
        <v>137</v>
      </c>
      <c r="G37" s="3" t="s">
        <v>143</v>
      </c>
      <c r="J37" s="3" t="s">
        <v>138</v>
      </c>
      <c r="M37" s="3" t="s">
        <v>144</v>
      </c>
      <c r="P37" s="3" t="s">
        <v>139</v>
      </c>
      <c r="S37" s="3" t="s">
        <v>145</v>
      </c>
      <c r="V37" s="3" t="s">
        <v>147</v>
      </c>
      <c r="Y37" s="3" t="s">
        <v>146</v>
      </c>
    </row>
    <row r="38" spans="1:27" x14ac:dyDescent="0.3">
      <c r="A38" s="1">
        <v>0</v>
      </c>
      <c r="C38" s="1" t="str">
        <f ca="1">MID(C11,FIND("/",C11)+1,1000)</f>
        <v>gfortran.x</v>
      </c>
      <c r="D38" s="1">
        <f ca="1">D11</f>
        <v>7.149</v>
      </c>
      <c r="E38" s="1">
        <f ca="1">IF(D11=0,0,E11*100/D11)</f>
        <v>4.2128969086585535</v>
      </c>
      <c r="F38" s="1">
        <f ca="1">IF(D11=0,0,F11*100/D11)</f>
        <v>0.66610714785284664</v>
      </c>
      <c r="G38" s="1">
        <f t="shared" ref="G38:AA45" ca="1" si="0">G11</f>
        <v>7.0750000000000002</v>
      </c>
      <c r="H38" s="1">
        <f t="shared" ref="H38:AA45" ca="1" si="1">IF(G11=0,0,H11*100/G11)</f>
        <v>3.8890459363957599</v>
      </c>
      <c r="I38" s="1">
        <f t="shared" ref="I38:I45" ca="1" si="2">IF(G11=0,0,I11*100/G11)</f>
        <v>0.61498233215547704</v>
      </c>
      <c r="J38" s="1">
        <f t="shared" ref="J38:AA38" ca="1" si="3">J11</f>
        <v>5.4080000000000004</v>
      </c>
      <c r="K38" s="1">
        <f t="shared" ref="K38:AA38" ca="1" si="4">IF(J11=0,0,K11*100/J11)</f>
        <v>0.38535502958579881</v>
      </c>
      <c r="L38" s="1">
        <f t="shared" ref="L38:L45" ca="1" si="5">IF(J11=0,0,L11*100/J11)</f>
        <v>6.0835798816568046E-2</v>
      </c>
      <c r="M38" s="1">
        <f t="shared" ref="M38:AA38" ca="1" si="6">M11</f>
        <v>5.4089999999999998</v>
      </c>
      <c r="N38" s="1">
        <f t="shared" ref="N38:AA38" ca="1" si="7">IF(M11=0,0,N11*100/M11)</f>
        <v>0.33166943982251806</v>
      </c>
      <c r="O38" s="1">
        <f t="shared" ref="O38:O45" ca="1" si="8">IF(M11=0,0,O11*100/M11)</f>
        <v>5.2505084119060831E-2</v>
      </c>
      <c r="P38" s="1">
        <f t="shared" ref="P38:AA38" ca="1" si="9">P11</f>
        <v>12.074999999999999</v>
      </c>
      <c r="Q38" s="1">
        <f t="shared" ref="Q38:AA38" ca="1" si="10">IF(P11=0,0,Q11*100/P11)</f>
        <v>4.3205797101449281</v>
      </c>
      <c r="R38" s="1">
        <f t="shared" ref="R38:R45" ca="1" si="11">IF(P11=0,0,R11*100/P11)</f>
        <v>0.68314699792960654</v>
      </c>
      <c r="S38" s="1">
        <f t="shared" ref="S38:AA38" ca="1" si="12">S11</f>
        <v>12.365</v>
      </c>
      <c r="T38" s="1">
        <f t="shared" ref="T38:AA38" ca="1" si="13">IF(S11=0,0,T11*100/S11)</f>
        <v>12.666154468257179</v>
      </c>
      <c r="U38" s="1">
        <f t="shared" ref="U38:U45" ca="1" si="14">IF(S11=0,0,U11*100/S11)</f>
        <v>2.0026688232915486</v>
      </c>
      <c r="V38" s="1">
        <f t="shared" ref="V38:AA38" ca="1" si="15">V11</f>
        <v>6.5990000000000002</v>
      </c>
      <c r="W38" s="1">
        <f t="shared" ref="W38:AA38" ca="1" si="16">IF(V11=0,0,W11*100/V11)</f>
        <v>0.90134868919533251</v>
      </c>
      <c r="X38" s="1">
        <f t="shared" ref="X38:X45" ca="1" si="17">IF(V11=0,0,X11*100/V11)</f>
        <v>0.14259736323685407</v>
      </c>
      <c r="Y38" s="1">
        <f t="shared" ref="Y38:AA38" ca="1" si="18">Y11</f>
        <v>6.5670000000000002</v>
      </c>
      <c r="Z38" s="1">
        <f t="shared" ref="Z38:AA38" ca="1" si="19">IF(Y11=0,0,Z11*100/Y11)</f>
        <v>0.80036546368204664</v>
      </c>
      <c r="AA38" s="1">
        <f t="shared" ref="AA38:AA45" ca="1" si="20">IF(Y11=0,0,AA11*100/Y11)</f>
        <v>0.12654179990863407</v>
      </c>
    </row>
    <row r="39" spans="1:27" x14ac:dyDescent="0.3">
      <c r="A39" s="1">
        <v>1</v>
      </c>
      <c r="C39" s="1" t="str">
        <f t="shared" ref="C39:C45" ca="1" si="21">MID(C12,FIND("/",C12)+1,1000)</f>
        <v>gfortran_o3.x</v>
      </c>
      <c r="D39" s="1">
        <f t="shared" ref="D39:D45" ca="1" si="22">D12</f>
        <v>7.2030000000000003</v>
      </c>
      <c r="E39" s="1">
        <f t="shared" ref="E39:E45" ca="1" si="23">IF(D12=0,0,E12*100/D12)</f>
        <v>3.2940441482715532</v>
      </c>
      <c r="F39" s="1">
        <f t="shared" ref="F39:F45" ca="1" si="24">IF(D12=0,0,F12*100/D12)</f>
        <v>0.52089407191448001</v>
      </c>
      <c r="G39" s="1">
        <f t="shared" ca="1" si="0"/>
        <v>6.9779999999999998</v>
      </c>
      <c r="H39" s="1">
        <f t="shared" ca="1" si="1"/>
        <v>2.7116652335912872</v>
      </c>
      <c r="I39" s="1">
        <f t="shared" ca="1" si="2"/>
        <v>0.42877615362568072</v>
      </c>
      <c r="J39" s="1">
        <f t="shared" ca="1" si="0"/>
        <v>5.4349999999999996</v>
      </c>
      <c r="K39" s="1">
        <f t="shared" ca="1" si="1"/>
        <v>0.59080036798528057</v>
      </c>
      <c r="L39" s="1">
        <f t="shared" ca="1" si="5"/>
        <v>9.3468261269549227E-2</v>
      </c>
      <c r="M39" s="1">
        <f t="shared" ca="1" si="0"/>
        <v>5.4290000000000003</v>
      </c>
      <c r="N39" s="1">
        <f t="shared" ca="1" si="1"/>
        <v>0.6944188616688155</v>
      </c>
      <c r="O39" s="1">
        <f t="shared" ca="1" si="8"/>
        <v>0.10978080677841222</v>
      </c>
      <c r="P39" s="1">
        <f t="shared" ca="1" si="0"/>
        <v>12.215</v>
      </c>
      <c r="Q39" s="1">
        <f t="shared" ca="1" si="1"/>
        <v>4.6012279983626687</v>
      </c>
      <c r="R39" s="1">
        <f t="shared" ca="1" si="11"/>
        <v>0.72754809660253794</v>
      </c>
      <c r="S39" s="1">
        <f t="shared" ca="1" si="0"/>
        <v>12.209</v>
      </c>
      <c r="T39" s="1">
        <f t="shared" ca="1" si="1"/>
        <v>4.6378081742976498</v>
      </c>
      <c r="U39" s="1">
        <f t="shared" ca="1" si="14"/>
        <v>0.73331149152264719</v>
      </c>
      <c r="V39" s="1">
        <f t="shared" ca="1" si="0"/>
        <v>6.5410000000000004</v>
      </c>
      <c r="W39" s="1">
        <f t="shared" ca="1" si="1"/>
        <v>0.65081791774957953</v>
      </c>
      <c r="X39" s="1">
        <f t="shared" ca="1" si="17"/>
        <v>0.10288946644244</v>
      </c>
      <c r="Y39" s="1">
        <f t="shared" ca="1" si="0"/>
        <v>6.5469999999999997</v>
      </c>
      <c r="Z39" s="1">
        <f t="shared" ca="1" si="1"/>
        <v>0.6042462196425844</v>
      </c>
      <c r="AA39" s="1">
        <f t="shared" ca="1" si="20"/>
        <v>9.5463571101267755E-2</v>
      </c>
    </row>
    <row r="40" spans="1:27" x14ac:dyDescent="0.3">
      <c r="A40" s="1">
        <v>2</v>
      </c>
      <c r="C40" s="1" t="str">
        <f t="shared" ca="1" si="21"/>
        <v>ifx.x</v>
      </c>
      <c r="D40" s="1">
        <f t="shared" ca="1" si="22"/>
        <v>6.05</v>
      </c>
      <c r="E40" s="1">
        <f t="shared" ca="1" si="23"/>
        <v>38.345950413223143</v>
      </c>
      <c r="F40" s="1">
        <f t="shared" ca="1" si="24"/>
        <v>6.0629752066115712</v>
      </c>
      <c r="G40" s="1">
        <f t="shared" ca="1" si="0"/>
        <v>4.4000000000000004</v>
      </c>
      <c r="H40" s="1">
        <f t="shared" ca="1" si="1"/>
        <v>40.459772727272721</v>
      </c>
      <c r="I40" s="1">
        <f t="shared" ca="1" si="2"/>
        <v>6.3972727272727266</v>
      </c>
      <c r="J40" s="1">
        <f t="shared" ca="1" si="0"/>
        <v>5.399</v>
      </c>
      <c r="K40" s="1">
        <f t="shared" ca="1" si="1"/>
        <v>0.31024263752546771</v>
      </c>
      <c r="L40" s="1">
        <f t="shared" ca="1" si="5"/>
        <v>4.9083163548805334E-2</v>
      </c>
      <c r="M40" s="1">
        <f t="shared" ca="1" si="0"/>
        <v>1.998</v>
      </c>
      <c r="N40" s="1">
        <f t="shared" ca="1" si="1"/>
        <v>6.003503503503504</v>
      </c>
      <c r="O40" s="1">
        <f t="shared" ca="1" si="8"/>
        <v>0.94944944944944942</v>
      </c>
      <c r="P40" s="1">
        <f t="shared" ca="1" si="0"/>
        <v>0</v>
      </c>
      <c r="Q40" s="1">
        <f t="shared" ca="1" si="1"/>
        <v>0</v>
      </c>
      <c r="R40" s="1">
        <f t="shared" ca="1" si="11"/>
        <v>0</v>
      </c>
      <c r="S40" s="1">
        <f t="shared" ca="1" si="0"/>
        <v>0</v>
      </c>
      <c r="T40" s="1">
        <f t="shared" ca="1" si="1"/>
        <v>0</v>
      </c>
      <c r="U40" s="1">
        <f t="shared" ca="1" si="14"/>
        <v>0</v>
      </c>
      <c r="V40" s="1">
        <f t="shared" ca="1" si="0"/>
        <v>6.5439999999999996</v>
      </c>
      <c r="W40" s="1">
        <f t="shared" ca="1" si="1"/>
        <v>0.89608801955990225</v>
      </c>
      <c r="X40" s="1">
        <f t="shared" ca="1" si="17"/>
        <v>0.14165647921760394</v>
      </c>
      <c r="Y40" s="1">
        <f t="shared" ca="1" si="0"/>
        <v>4.6029999999999998</v>
      </c>
      <c r="Z40" s="1">
        <f t="shared" ca="1" si="1"/>
        <v>1.0710406256789051</v>
      </c>
      <c r="AA40" s="1">
        <f t="shared" ca="1" si="20"/>
        <v>0.16945470345426894</v>
      </c>
    </row>
    <row r="41" spans="1:27" x14ac:dyDescent="0.3">
      <c r="A41" s="1">
        <v>3</v>
      </c>
      <c r="C41" s="1" t="str">
        <f t="shared" ca="1" si="21"/>
        <v>ifx_o3.x</v>
      </c>
      <c r="D41" s="1">
        <f t="shared" ca="1" si="22"/>
        <v>6.4</v>
      </c>
      <c r="E41" s="1">
        <f t="shared" ca="1" si="23"/>
        <v>28.919531249999999</v>
      </c>
      <c r="F41" s="1">
        <f t="shared" ca="1" si="24"/>
        <v>4.5724999999999998</v>
      </c>
      <c r="G41" s="1">
        <f t="shared" ca="1" si="0"/>
        <v>4.1749999999999998</v>
      </c>
      <c r="H41" s="1">
        <f t="shared" ca="1" si="1"/>
        <v>14.23497005988024</v>
      </c>
      <c r="I41" s="1">
        <f t="shared" ca="1" si="2"/>
        <v>2.2507784431137727</v>
      </c>
      <c r="J41" s="1">
        <f t="shared" ca="1" si="0"/>
        <v>5.4119999999999999</v>
      </c>
      <c r="K41" s="1">
        <f t="shared" ca="1" si="1"/>
        <v>0.45509977827051001</v>
      </c>
      <c r="L41" s="1">
        <f t="shared" ca="1" si="5"/>
        <v>7.1877309682187723E-2</v>
      </c>
      <c r="M41" s="1">
        <f t="shared" ca="1" si="0"/>
        <v>1.956</v>
      </c>
      <c r="N41" s="1">
        <f t="shared" ca="1" si="1"/>
        <v>5.6226993865030677</v>
      </c>
      <c r="O41" s="1">
        <f t="shared" ca="1" si="8"/>
        <v>0.88905930470347649</v>
      </c>
      <c r="P41" s="1">
        <f t="shared" ca="1" si="0"/>
        <v>0</v>
      </c>
      <c r="Q41" s="1">
        <f t="shared" ca="1" si="1"/>
        <v>0</v>
      </c>
      <c r="R41" s="1">
        <f t="shared" ca="1" si="11"/>
        <v>0</v>
      </c>
      <c r="S41" s="1">
        <f t="shared" ca="1" si="0"/>
        <v>0</v>
      </c>
      <c r="T41" s="1">
        <f t="shared" ca="1" si="1"/>
        <v>0</v>
      </c>
      <c r="U41" s="1">
        <f t="shared" ca="1" si="14"/>
        <v>0</v>
      </c>
      <c r="V41" s="1">
        <f t="shared" ca="1" si="0"/>
        <v>6.5609999999999999</v>
      </c>
      <c r="W41" s="1">
        <f t="shared" ca="1" si="1"/>
        <v>1.0155464106081389</v>
      </c>
      <c r="X41" s="1">
        <f t="shared" ca="1" si="17"/>
        <v>0.16064624295076971</v>
      </c>
      <c r="Y41" s="1">
        <f t="shared" ca="1" si="0"/>
        <v>4.5999999999999996</v>
      </c>
      <c r="Z41" s="1">
        <f t="shared" ca="1" si="1"/>
        <v>1.0686956521739133</v>
      </c>
      <c r="AA41" s="1">
        <f t="shared" ca="1" si="20"/>
        <v>0.16891304347826089</v>
      </c>
    </row>
    <row r="42" spans="1:27" x14ac:dyDescent="0.3">
      <c r="A42" s="1">
        <v>4</v>
      </c>
      <c r="C42" s="1" t="str">
        <f t="shared" ca="1" si="21"/>
        <v>gpp.x</v>
      </c>
      <c r="D42" s="1">
        <f t="shared" ca="1" si="22"/>
        <v>7.1029999999999998</v>
      </c>
      <c r="E42" s="1">
        <f t="shared" ca="1" si="23"/>
        <v>2.6363508376742226</v>
      </c>
      <c r="F42" s="1">
        <f t="shared" ca="1" si="24"/>
        <v>0.41686611291003806</v>
      </c>
      <c r="G42" s="1">
        <f t="shared" ca="1" si="0"/>
        <v>7.2619999999999996</v>
      </c>
      <c r="H42" s="1">
        <f t="shared" ca="1" si="1"/>
        <v>3.1973285596254479</v>
      </c>
      <c r="I42" s="1">
        <f t="shared" ca="1" si="2"/>
        <v>0.50550812448361337</v>
      </c>
      <c r="J42" s="1">
        <f t="shared" ca="1" si="0"/>
        <v>32.514000000000003</v>
      </c>
      <c r="K42" s="1">
        <f t="shared" ca="1" si="1"/>
        <v>0.54179737959033025</v>
      </c>
      <c r="L42" s="1">
        <f t="shared" ca="1" si="5"/>
        <v>8.5655409977240568E-2</v>
      </c>
      <c r="M42" s="1">
        <f t="shared" ca="1" si="0"/>
        <v>27.06</v>
      </c>
      <c r="N42" s="1">
        <f t="shared" ca="1" si="1"/>
        <v>0.46796008869179595</v>
      </c>
      <c r="O42" s="1">
        <f t="shared" ca="1" si="8"/>
        <v>7.3983739837398366E-2</v>
      </c>
      <c r="P42" s="1">
        <f t="shared" ca="1" si="0"/>
        <v>11.99</v>
      </c>
      <c r="Q42" s="1">
        <f t="shared" ca="1" si="1"/>
        <v>6.0851542952460385</v>
      </c>
      <c r="R42" s="1">
        <f t="shared" ca="1" si="11"/>
        <v>0.96213511259382811</v>
      </c>
      <c r="S42" s="1">
        <f t="shared" ca="1" si="0"/>
        <v>12.045999999999999</v>
      </c>
      <c r="T42" s="1">
        <f t="shared" ca="1" si="1"/>
        <v>6.0871658641872832</v>
      </c>
      <c r="U42" s="1">
        <f t="shared" ca="1" si="14"/>
        <v>0.96247717084509377</v>
      </c>
      <c r="V42" s="1">
        <f t="shared" ca="1" si="0"/>
        <v>18.776</v>
      </c>
      <c r="W42" s="1">
        <f t="shared" ca="1" si="1"/>
        <v>0.66137622496804427</v>
      </c>
      <c r="X42" s="1">
        <f t="shared" ca="1" si="17"/>
        <v>0.10454835960801023</v>
      </c>
      <c r="Y42" s="1">
        <f t="shared" ca="1" si="0"/>
        <v>18.713999999999999</v>
      </c>
      <c r="Z42" s="1">
        <f t="shared" ca="1" si="1"/>
        <v>0.264507855081757</v>
      </c>
      <c r="AA42" s="1">
        <f t="shared" ca="1" si="20"/>
        <v>4.1840333440205199E-2</v>
      </c>
    </row>
    <row r="43" spans="1:27" x14ac:dyDescent="0.3">
      <c r="A43" s="1">
        <v>5</v>
      </c>
      <c r="C43" s="1" t="str">
        <f t="shared" ca="1" si="21"/>
        <v>gpp_o3.x</v>
      </c>
      <c r="D43" s="1">
        <f t="shared" ca="1" si="22"/>
        <v>7.1879999999999997</v>
      </c>
      <c r="E43" s="1">
        <f t="shared" ca="1" si="23"/>
        <v>3.4550639955481355</v>
      </c>
      <c r="F43" s="1">
        <f t="shared" ca="1" si="24"/>
        <v>0.54632721202003343</v>
      </c>
      <c r="G43" s="1">
        <f t="shared" ca="1" si="0"/>
        <v>7.0309999999999997</v>
      </c>
      <c r="H43" s="1">
        <f t="shared" ca="1" si="1"/>
        <v>2.9449580429526385</v>
      </c>
      <c r="I43" s="1">
        <f t="shared" ca="1" si="2"/>
        <v>0.46565211207509605</v>
      </c>
      <c r="J43" s="1">
        <f t="shared" ca="1" si="0"/>
        <v>18.853000000000002</v>
      </c>
      <c r="K43" s="1">
        <f t="shared" ca="1" si="1"/>
        <v>0.3231315970933008</v>
      </c>
      <c r="L43" s="1">
        <f t="shared" ca="1" si="5"/>
        <v>5.107940380841245E-2</v>
      </c>
      <c r="M43" s="1">
        <f t="shared" ca="1" si="0"/>
        <v>8.0909999999999993</v>
      </c>
      <c r="N43" s="1">
        <f t="shared" ca="1" si="1"/>
        <v>0.39933259176863184</v>
      </c>
      <c r="O43" s="1">
        <f t="shared" ca="1" si="8"/>
        <v>6.315659374613769E-2</v>
      </c>
      <c r="P43" s="1">
        <f t="shared" ca="1" si="0"/>
        <v>11.964</v>
      </c>
      <c r="Q43" s="1">
        <f t="shared" ca="1" si="1"/>
        <v>4.6602306920762278</v>
      </c>
      <c r="R43" s="1">
        <f t="shared" ca="1" si="11"/>
        <v>0.73687729856235373</v>
      </c>
      <c r="S43" s="1">
        <f t="shared" ca="1" si="0"/>
        <v>12.285</v>
      </c>
      <c r="T43" s="1">
        <f t="shared" ca="1" si="1"/>
        <v>4.9628001628001632</v>
      </c>
      <c r="U43" s="1">
        <f t="shared" ca="1" si="14"/>
        <v>0.78469678469678472</v>
      </c>
      <c r="V43" s="1">
        <f t="shared" ca="1" si="0"/>
        <v>12.433</v>
      </c>
      <c r="W43" s="1">
        <f t="shared" ca="1" si="1"/>
        <v>0.85884340062736275</v>
      </c>
      <c r="X43" s="1">
        <f t="shared" ca="1" si="17"/>
        <v>0.13576771495214349</v>
      </c>
      <c r="Y43" s="1">
        <f t="shared" ca="1" si="0"/>
        <v>9.6110000000000007</v>
      </c>
      <c r="Z43" s="1">
        <f t="shared" ca="1" si="1"/>
        <v>0.55436479034439701</v>
      </c>
      <c r="AA43" s="1">
        <f t="shared" ca="1" si="20"/>
        <v>8.7607949224846535E-2</v>
      </c>
    </row>
    <row r="44" spans="1:27" x14ac:dyDescent="0.3">
      <c r="A44" s="1">
        <v>6</v>
      </c>
      <c r="C44" s="1" t="str">
        <f t="shared" ca="1" si="21"/>
        <v>icx.x</v>
      </c>
      <c r="D44" s="1">
        <f t="shared" ca="1" si="22"/>
        <v>4.6509999999999998</v>
      </c>
      <c r="E44" s="1">
        <f t="shared" ca="1" si="23"/>
        <v>9.0567619866695335</v>
      </c>
      <c r="F44" s="1">
        <f t="shared" ca="1" si="24"/>
        <v>1.4319501182541392</v>
      </c>
      <c r="G44" s="1">
        <f t="shared" ca="1" si="0"/>
        <v>4.032</v>
      </c>
      <c r="H44" s="1">
        <f t="shared" ca="1" si="1"/>
        <v>6.0270337301587302</v>
      </c>
      <c r="I44" s="1">
        <f t="shared" ca="1" si="2"/>
        <v>0.95287698412698418</v>
      </c>
      <c r="J44" s="1">
        <f t="shared" ca="1" si="0"/>
        <v>1.903</v>
      </c>
      <c r="K44" s="1">
        <f t="shared" ca="1" si="1"/>
        <v>6.0094587493431426</v>
      </c>
      <c r="L44" s="1">
        <f t="shared" ca="1" si="5"/>
        <v>0.95007882291119272</v>
      </c>
      <c r="M44" s="1">
        <f t="shared" ca="1" si="0"/>
        <v>1.861</v>
      </c>
      <c r="N44" s="1">
        <f t="shared" ca="1" si="1"/>
        <v>8.7646426652337457</v>
      </c>
      <c r="O44" s="1">
        <f t="shared" ca="1" si="8"/>
        <v>1.3858140784524451</v>
      </c>
      <c r="P44" s="1">
        <f t="shared" ca="1" si="0"/>
        <v>0</v>
      </c>
      <c r="Q44" s="1">
        <f t="shared" ca="1" si="1"/>
        <v>0</v>
      </c>
      <c r="R44" s="1">
        <f t="shared" ca="1" si="11"/>
        <v>0</v>
      </c>
      <c r="S44" s="1">
        <f t="shared" ca="1" si="0"/>
        <v>0</v>
      </c>
      <c r="T44" s="1">
        <f t="shared" ca="1" si="1"/>
        <v>0</v>
      </c>
      <c r="U44" s="1">
        <f t="shared" ca="1" si="14"/>
        <v>0</v>
      </c>
      <c r="V44" s="1">
        <f t="shared" ca="1" si="0"/>
        <v>5.3170000000000002</v>
      </c>
      <c r="W44" s="1">
        <f t="shared" ca="1" si="1"/>
        <v>3.1807410193718257</v>
      </c>
      <c r="X44" s="1">
        <f t="shared" ca="1" si="17"/>
        <v>0.50291517773180361</v>
      </c>
      <c r="Y44" s="1">
        <f t="shared" ca="1" si="0"/>
        <v>4.6340000000000003</v>
      </c>
      <c r="Z44" s="1">
        <f t="shared" ca="1" si="1"/>
        <v>1.1933534743202416</v>
      </c>
      <c r="AA44" s="1">
        <f t="shared" ca="1" si="20"/>
        <v>0.18860595597755717</v>
      </c>
    </row>
    <row r="45" spans="1:27" x14ac:dyDescent="0.3">
      <c r="A45" s="1">
        <v>7</v>
      </c>
      <c r="C45" s="1" t="str">
        <f t="shared" ca="1" si="21"/>
        <v>icx_o3.x</v>
      </c>
      <c r="D45" s="1">
        <f t="shared" ca="1" si="22"/>
        <v>4.5759999999999996</v>
      </c>
      <c r="E45" s="1">
        <f t="shared" ca="1" si="23"/>
        <v>7.7100087412587417</v>
      </c>
      <c r="F45" s="1">
        <f t="shared" ca="1" si="24"/>
        <v>1.2189685314685317</v>
      </c>
      <c r="G45" s="1">
        <f t="shared" ca="1" si="0"/>
        <v>4.069</v>
      </c>
      <c r="H45" s="1">
        <f t="shared" ca="1" si="1"/>
        <v>7.3959203735561561</v>
      </c>
      <c r="I45" s="1">
        <f t="shared" ca="1" si="2"/>
        <v>1.1693290734824282</v>
      </c>
      <c r="J45" s="1">
        <f t="shared" ca="1" si="0"/>
        <v>1.9219999999999999</v>
      </c>
      <c r="K45" s="1">
        <f t="shared" ca="1" si="1"/>
        <v>7.1144640998959421</v>
      </c>
      <c r="L45" s="1">
        <f t="shared" ca="1" si="5"/>
        <v>1.1248699271592091</v>
      </c>
      <c r="M45" s="1">
        <f t="shared" ca="1" si="0"/>
        <v>1.837</v>
      </c>
      <c r="N45" s="1">
        <f t="shared" ca="1" si="1"/>
        <v>8.3783342406096892</v>
      </c>
      <c r="O45" s="1">
        <f t="shared" ca="1" si="8"/>
        <v>1.3249863908546544</v>
      </c>
      <c r="P45" s="1">
        <f t="shared" ca="1" si="0"/>
        <v>0</v>
      </c>
      <c r="Q45" s="1">
        <f t="shared" ca="1" si="1"/>
        <v>0</v>
      </c>
      <c r="R45" s="1">
        <f t="shared" ca="1" si="11"/>
        <v>0</v>
      </c>
      <c r="S45" s="1">
        <f t="shared" ca="1" si="0"/>
        <v>0</v>
      </c>
      <c r="T45" s="1">
        <f t="shared" ca="1" si="1"/>
        <v>0</v>
      </c>
      <c r="U45" s="1">
        <f t="shared" ca="1" si="14"/>
        <v>0</v>
      </c>
      <c r="V45" s="1">
        <f t="shared" ca="1" si="0"/>
        <v>5.3029999999999999</v>
      </c>
      <c r="W45" s="1">
        <f t="shared" ca="1" si="1"/>
        <v>3.3705449745427121</v>
      </c>
      <c r="X45" s="1">
        <f t="shared" ca="1" si="17"/>
        <v>0.53290590231944179</v>
      </c>
      <c r="Y45" s="1">
        <f t="shared" ca="1" si="0"/>
        <v>4.6500000000000004</v>
      </c>
      <c r="Z45" s="1">
        <f t="shared" ca="1" si="1"/>
        <v>1.2234408602150537</v>
      </c>
      <c r="AA45" s="1">
        <f t="shared" ca="1" si="20"/>
        <v>0.19333333333333333</v>
      </c>
    </row>
    <row r="46" spans="1:27" x14ac:dyDescent="0.3">
      <c r="A46" s="1">
        <v>8</v>
      </c>
    </row>
    <row r="47" spans="1:27" x14ac:dyDescent="0.3">
      <c r="A47" s="1">
        <v>9</v>
      </c>
    </row>
    <row r="48" spans="1:27" x14ac:dyDescent="0.3">
      <c r="A48" s="1">
        <v>10</v>
      </c>
    </row>
    <row r="49" spans="1:20" x14ac:dyDescent="0.3">
      <c r="A49" s="1">
        <v>11</v>
      </c>
    </row>
    <row r="50" spans="1:20" x14ac:dyDescent="0.3">
      <c r="A50" s="1">
        <v>12</v>
      </c>
    </row>
    <row r="51" spans="1:20" x14ac:dyDescent="0.3">
      <c r="A51" s="1">
        <v>13</v>
      </c>
    </row>
    <row r="52" spans="1:20" x14ac:dyDescent="0.3">
      <c r="A52" s="1">
        <v>14</v>
      </c>
    </row>
    <row r="53" spans="1:20" x14ac:dyDescent="0.3">
      <c r="A53" s="1">
        <v>15</v>
      </c>
    </row>
    <row r="54" spans="1:20" x14ac:dyDescent="0.3">
      <c r="A54" s="1">
        <v>16</v>
      </c>
    </row>
    <row r="55" spans="1:20" x14ac:dyDescent="0.3">
      <c r="A55" s="1">
        <v>17</v>
      </c>
    </row>
    <row r="56" spans="1:20" x14ac:dyDescent="0.3">
      <c r="A56" s="1">
        <v>18</v>
      </c>
    </row>
    <row r="57" spans="1:20" x14ac:dyDescent="0.3">
      <c r="A57" s="1">
        <v>19</v>
      </c>
    </row>
    <row r="58" spans="1:20" x14ac:dyDescent="0.3">
      <c r="A58" s="1">
        <v>20</v>
      </c>
    </row>
    <row r="59" spans="1:20" x14ac:dyDescent="0.3">
      <c r="A59" s="1">
        <v>21</v>
      </c>
    </row>
    <row r="60" spans="1:20" x14ac:dyDescent="0.3">
      <c r="A60" s="1">
        <v>22</v>
      </c>
    </row>
    <row r="61" spans="1:20" x14ac:dyDescent="0.3">
      <c r="A61" s="1">
        <v>23</v>
      </c>
    </row>
    <row r="62" spans="1:20" x14ac:dyDescent="0.3">
      <c r="A62" s="1">
        <v>24</v>
      </c>
    </row>
    <row r="63" spans="1:20" x14ac:dyDescent="0.3">
      <c r="D63" s="1">
        <v>4</v>
      </c>
      <c r="F63" s="1">
        <v>10</v>
      </c>
      <c r="H63" s="1">
        <v>16</v>
      </c>
      <c r="J63" s="1">
        <v>22</v>
      </c>
      <c r="L63" s="1">
        <v>7</v>
      </c>
      <c r="N63" s="1">
        <f>L63+6</f>
        <v>13</v>
      </c>
      <c r="P63" s="1">
        <f>N63+6</f>
        <v>19</v>
      </c>
      <c r="R63" s="1">
        <f>P63+6</f>
        <v>25</v>
      </c>
    </row>
    <row r="64" spans="1:20" ht="25" thickBot="1" x14ac:dyDescent="0.3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50" customHeight="1" thickBot="1" x14ac:dyDescent="0.35">
      <c r="B65" s="6"/>
      <c r="C65" s="26" t="s">
        <v>140</v>
      </c>
      <c r="D65" s="27" t="str" cm="1">
        <f t="array" aca="1" ref="D65" ca="1">INDIRECT(ADDRESS(ROW(D37),D63))</f>
        <v>AMD Ryzen 7 5800X</v>
      </c>
      <c r="E65" s="28"/>
      <c r="F65" s="28" t="str" cm="1">
        <f t="array" aca="1" ref="F65" ca="1">INDIRECT(ADDRESS(ROW(E37),F63))</f>
        <v>AMD EPYC Turin</v>
      </c>
      <c r="G65" s="28"/>
      <c r="H65" s="28" t="str" cm="1">
        <f t="array" aca="1" ref="H65" ca="1">INDIRECT(ADDRESS(ROW(F37),H63))</f>
        <v>Apple ARM M1 Max</v>
      </c>
      <c r="I65" s="28"/>
      <c r="J65" s="28" t="str" cm="1">
        <f t="array" aca="1" ref="J65" ca="1">INDIRECT(ADDRESS(ROW(G37),J63))</f>
        <v xml:space="preserve">Intel Xeon Platinum </v>
      </c>
      <c r="K65" s="29"/>
      <c r="L65" s="30" t="str" cm="1">
        <f t="array" aca="1" ref="L65" ca="1">INDIRECT(ADDRESS(ROW(H37),L63))</f>
        <v>AMD Ryzen 7 5800X ASE</v>
      </c>
      <c r="M65" s="31"/>
      <c r="N65" s="31" t="str" cm="1">
        <f t="array" aca="1" ref="N65" ca="1">INDIRECT(ADDRESS(ROW(I37),N63))</f>
        <v>AMD EPYC Turin ASE</v>
      </c>
      <c r="O65" s="31"/>
      <c r="P65" s="31" t="str" cm="1">
        <f t="array" aca="1" ref="P65" ca="1">INDIRECT(ADDRESS(ROW(J37),P63))</f>
        <v>Apple ARM M1 Max ASE</v>
      </c>
      <c r="Q65" s="31"/>
      <c r="R65" s="31" t="str" cm="1">
        <f t="array" aca="1" ref="R65" ca="1">INDIRECT(ADDRESS(ROW(K37),R63))</f>
        <v>Intel Xeon Platinum ASE</v>
      </c>
      <c r="S65" s="32"/>
      <c r="T65" s="6"/>
    </row>
    <row r="66" spans="1:20" x14ac:dyDescent="0.3">
      <c r="A66" s="1">
        <v>0</v>
      </c>
      <c r="B66" s="6"/>
      <c r="C66" s="42" t="str">
        <f ca="1">SUBSTITUTE(LEFT(C38,FIND(".",C38)-1),"pp","++")</f>
        <v>gfortran</v>
      </c>
      <c r="D66" s="43" cm="1">
        <f t="array" aca="1" ref="D66" ca="1">INDIRECT(ADDRESS(ROW($D$38)+$A66,D$63))</f>
        <v>7.149</v>
      </c>
      <c r="E66" s="44" t="str" cm="1">
        <f t="array" aca="1" ref="E66" ca="1">"("&amp;TEXT(INDIRECT(ADDRESS(ROW($D$38)+$A66,D$63+2)),"0.0")&amp;"%)"</f>
        <v>(0.7%)</v>
      </c>
      <c r="F66" s="45" cm="1">
        <f t="array" aca="1" ref="F66" ca="1">INDIRECT(ADDRESS(ROW($D$38)+$A66,F$63))</f>
        <v>5.4080000000000004</v>
      </c>
      <c r="G66" s="44" t="str" cm="1">
        <f t="array" aca="1" ref="G66" ca="1">"("&amp;TEXT(INDIRECT(ADDRESS(ROW($D$38)+$A66,F$63+2)),"0.0")&amp;"%)"</f>
        <v>(0.1%)</v>
      </c>
      <c r="H66" s="45" cm="1">
        <f t="array" aca="1" ref="H66" ca="1">INDIRECT(ADDRESS(ROW($D$38)+$A66,H$63))</f>
        <v>12.074999999999999</v>
      </c>
      <c r="I66" s="44" t="str" cm="1">
        <f t="array" aca="1" ref="I66" ca="1">"("&amp;TEXT(INDIRECT(ADDRESS(ROW($D$38)+$A66,H$63+2)),"0.0")&amp;"%)"</f>
        <v>(0.7%)</v>
      </c>
      <c r="J66" s="45" cm="1">
        <f t="array" aca="1" ref="J66" ca="1">INDIRECT(ADDRESS(ROW($D$38)+$A66,J$63))</f>
        <v>6.5990000000000002</v>
      </c>
      <c r="K66" s="46" t="str" cm="1">
        <f t="array" aca="1" ref="K66" ca="1">"("&amp;TEXT(INDIRECT(ADDRESS(ROW($D$38)+$A66,J$63+2)),"0.0")&amp;"%)"</f>
        <v>(0.1%)</v>
      </c>
      <c r="L66" s="47" cm="1">
        <f t="array" aca="1" ref="L66" ca="1">INDIRECT(ADDRESS(ROW($D$38)+$A66,L$63))</f>
        <v>7.0750000000000002</v>
      </c>
      <c r="M66" s="48" t="str" cm="1">
        <f t="array" aca="1" ref="M66" ca="1">"("&amp;TEXT(INDIRECT(ADDRESS(ROW($D$38)+$A66,L$63+2)),"0.0")&amp;"%)"</f>
        <v>(0.6%)</v>
      </c>
      <c r="N66" s="49" cm="1">
        <f t="array" aca="1" ref="N66" ca="1">INDIRECT(ADDRESS(ROW($D$38)+$A66,N$63))</f>
        <v>5.4089999999999998</v>
      </c>
      <c r="O66" s="48" t="str" cm="1">
        <f t="array" aca="1" ref="O66" ca="1">"("&amp;TEXT(INDIRECT(ADDRESS(ROW($D$38)+$A66,N$63+2)),"0.0")&amp;"%)"</f>
        <v>(0.1%)</v>
      </c>
      <c r="P66" s="49" cm="1">
        <f t="array" aca="1" ref="P66" ca="1">INDIRECT(ADDRESS(ROW($D$38)+$A66,P$63))</f>
        <v>12.365</v>
      </c>
      <c r="Q66" s="48" t="str" cm="1">
        <f t="array" aca="1" ref="Q66" ca="1">"("&amp;TEXT(INDIRECT(ADDRESS(ROW($D$38)+$A66,P$63+2)),"0.0")&amp;"%)"</f>
        <v>(2.0%)</v>
      </c>
      <c r="R66" s="49" cm="1">
        <f t="array" aca="1" ref="R66" ca="1">INDIRECT(ADDRESS(ROW($D$38)+$A66,R$63))</f>
        <v>6.5670000000000002</v>
      </c>
      <c r="S66" s="50" t="str" cm="1">
        <f t="array" aca="1" ref="S66" ca="1">"("&amp;TEXT(INDIRECT(ADDRESS(ROW($D$38)+$A66,R$63+2)),"0.0")&amp;"%)"</f>
        <v>(0.1%)</v>
      </c>
      <c r="T66" s="6"/>
    </row>
    <row r="67" spans="1:20" x14ac:dyDescent="0.3">
      <c r="A67" s="1">
        <v>1</v>
      </c>
      <c r="B67" s="6"/>
      <c r="C67" s="24" t="str">
        <f t="shared" ref="C67:C73" ca="1" si="25">SUBSTITUTE(LEFT(C39,FIND(".",C39)-1),"pp","++")</f>
        <v>gfortran_o3</v>
      </c>
      <c r="D67" s="10" cm="1">
        <f t="array" aca="1" ref="D67" ca="1">INDIRECT(ADDRESS(ROW($D$38)+$A67,D$63))</f>
        <v>7.2030000000000003</v>
      </c>
      <c r="E67" s="9" t="str" cm="1">
        <f t="array" aca="1" ref="E67" ca="1">"("&amp;TEXT(INDIRECT(ADDRESS(ROW($D$38)+$A67,D$63+2)),"0.0")&amp;"%)"</f>
        <v>(0.5%)</v>
      </c>
      <c r="F67" s="8" cm="1">
        <f t="array" aca="1" ref="F67" ca="1">INDIRECT(ADDRESS(ROW($D$38)+$A67,F$63))</f>
        <v>5.4349999999999996</v>
      </c>
      <c r="G67" s="9" t="str" cm="1">
        <f t="array" aca="1" ref="G67" ca="1">"("&amp;TEXT(INDIRECT(ADDRESS(ROW($D$38)+$A67,F$63+2)),"0.0")&amp;"%)"</f>
        <v>(0.1%)</v>
      </c>
      <c r="H67" s="8" cm="1">
        <f t="array" aca="1" ref="H67" ca="1">INDIRECT(ADDRESS(ROW($D$38)+$A67,H$63))</f>
        <v>12.215</v>
      </c>
      <c r="I67" s="9" t="str" cm="1">
        <f t="array" aca="1" ref="I67" ca="1">"("&amp;TEXT(INDIRECT(ADDRESS(ROW($D$38)+$A67,H$63+2)),"0.0")&amp;"%)"</f>
        <v>(0.7%)</v>
      </c>
      <c r="J67" s="8" cm="1">
        <f t="array" aca="1" ref="J67" ca="1">INDIRECT(ADDRESS(ROW($D$38)+$A67,J$63))</f>
        <v>6.5410000000000004</v>
      </c>
      <c r="K67" s="11" t="str" cm="1">
        <f t="array" aca="1" ref="K67" ca="1">"("&amp;TEXT(INDIRECT(ADDRESS(ROW($D$38)+$A67,J$63+2)),"0.0")&amp;"%)"</f>
        <v>(0.1%)</v>
      </c>
      <c r="L67" s="16" cm="1">
        <f t="array" aca="1" ref="L67" ca="1">INDIRECT(ADDRESS(ROW($D$38)+$A67,L$63))</f>
        <v>6.9779999999999998</v>
      </c>
      <c r="M67" s="20" t="str" cm="1">
        <f t="array" aca="1" ref="M67" ca="1">"("&amp;TEXT(INDIRECT(ADDRESS(ROW($D$38)+$A67,L$63+2)),"0.0")&amp;"%)"</f>
        <v>(0.4%)</v>
      </c>
      <c r="N67" s="17" cm="1">
        <f t="array" aca="1" ref="N67" ca="1">INDIRECT(ADDRESS(ROW($D$38)+$A67,N$63))</f>
        <v>5.4290000000000003</v>
      </c>
      <c r="O67" s="20" t="str" cm="1">
        <f t="array" aca="1" ref="O67" ca="1">"("&amp;TEXT(INDIRECT(ADDRESS(ROW($D$38)+$A67,N$63+2)),"0.0")&amp;"%)"</f>
        <v>(0.1%)</v>
      </c>
      <c r="P67" s="17" cm="1">
        <f t="array" aca="1" ref="P67" ca="1">INDIRECT(ADDRESS(ROW($D$38)+$A67,P$63))</f>
        <v>12.209</v>
      </c>
      <c r="Q67" s="20" t="str" cm="1">
        <f t="array" aca="1" ref="Q67" ca="1">"("&amp;TEXT(INDIRECT(ADDRESS(ROW($D$38)+$A67,P$63+2)),"0.0")&amp;"%)"</f>
        <v>(0.7%)</v>
      </c>
      <c r="R67" s="17" cm="1">
        <f t="array" aca="1" ref="R67" ca="1">INDIRECT(ADDRESS(ROW($D$38)+$A67,R$63))</f>
        <v>6.5469999999999997</v>
      </c>
      <c r="S67" s="22" t="str" cm="1">
        <f t="array" aca="1" ref="S67" ca="1">"("&amp;TEXT(INDIRECT(ADDRESS(ROW($D$38)+$A67,R$63+2)),"0.0")&amp;"%)"</f>
        <v>(0.1%)</v>
      </c>
      <c r="T67" s="6"/>
    </row>
    <row r="68" spans="1:20" x14ac:dyDescent="0.3">
      <c r="A68" s="1">
        <v>2</v>
      </c>
      <c r="B68" s="6"/>
      <c r="C68" s="24" t="str">
        <f t="shared" ca="1" si="25"/>
        <v>ifx</v>
      </c>
      <c r="D68" s="10" cm="1">
        <f t="array" aca="1" ref="D68" ca="1">INDIRECT(ADDRESS(ROW($D$38)+$A68,D$63))</f>
        <v>6.05</v>
      </c>
      <c r="E68" s="9" t="str" cm="1">
        <f t="array" aca="1" ref="E68" ca="1">"("&amp;TEXT(INDIRECT(ADDRESS(ROW($D$38)+$A68,D$63+2)),"0.0")&amp;"%)"</f>
        <v>(6.1%)</v>
      </c>
      <c r="F68" s="8" cm="1">
        <f t="array" aca="1" ref="F68" ca="1">INDIRECT(ADDRESS(ROW($D$38)+$A68,F$63))</f>
        <v>5.399</v>
      </c>
      <c r="G68" s="9" t="str" cm="1">
        <f t="array" aca="1" ref="G68" ca="1">"("&amp;TEXT(INDIRECT(ADDRESS(ROW($D$38)+$A68,F$63+2)),"0.0")&amp;"%)"</f>
        <v>(0.0%)</v>
      </c>
      <c r="H68" s="8" cm="1">
        <f t="array" aca="1" ref="H68" ca="1">INDIRECT(ADDRESS(ROW($D$38)+$A68,H$63))</f>
        <v>0</v>
      </c>
      <c r="I68" s="9" t="str" cm="1">
        <f t="array" aca="1" ref="I68" ca="1">"("&amp;TEXT(INDIRECT(ADDRESS(ROW($D$38)+$A68,H$63+2)),"0.0")&amp;"%)"</f>
        <v>(0.0%)</v>
      </c>
      <c r="J68" s="8" cm="1">
        <f t="array" aca="1" ref="J68" ca="1">INDIRECT(ADDRESS(ROW($D$38)+$A68,J$63))</f>
        <v>6.5439999999999996</v>
      </c>
      <c r="K68" s="11" t="str" cm="1">
        <f t="array" aca="1" ref="K68" ca="1">"("&amp;TEXT(INDIRECT(ADDRESS(ROW($D$38)+$A68,J$63+2)),"0.0")&amp;"%)"</f>
        <v>(0.1%)</v>
      </c>
      <c r="L68" s="16" cm="1">
        <f t="array" aca="1" ref="L68" ca="1">INDIRECT(ADDRESS(ROW($D$38)+$A68,L$63))</f>
        <v>4.4000000000000004</v>
      </c>
      <c r="M68" s="20" t="str" cm="1">
        <f t="array" aca="1" ref="M68" ca="1">"("&amp;TEXT(INDIRECT(ADDRESS(ROW($D$38)+$A68,L$63+2)),"0.0")&amp;"%)"</f>
        <v>(6.4%)</v>
      </c>
      <c r="N68" s="17" cm="1">
        <f t="array" aca="1" ref="N68" ca="1">INDIRECT(ADDRESS(ROW($D$38)+$A68,N$63))</f>
        <v>1.998</v>
      </c>
      <c r="O68" s="20" t="str" cm="1">
        <f t="array" aca="1" ref="O68" ca="1">"("&amp;TEXT(INDIRECT(ADDRESS(ROW($D$38)+$A68,N$63+2)),"0.0")&amp;"%)"</f>
        <v>(0.9%)</v>
      </c>
      <c r="P68" s="17" cm="1">
        <f t="array" aca="1" ref="P68" ca="1">INDIRECT(ADDRESS(ROW($D$38)+$A68,P$63))</f>
        <v>0</v>
      </c>
      <c r="Q68" s="20" t="str" cm="1">
        <f t="array" aca="1" ref="Q68" ca="1">"("&amp;TEXT(INDIRECT(ADDRESS(ROW($D$38)+$A68,P$63+2)),"0.0")&amp;"%)"</f>
        <v>(0.0%)</v>
      </c>
      <c r="R68" s="17" cm="1">
        <f t="array" aca="1" ref="R68" ca="1">INDIRECT(ADDRESS(ROW($D$38)+$A68,R$63))</f>
        <v>4.6029999999999998</v>
      </c>
      <c r="S68" s="22" t="str" cm="1">
        <f t="array" aca="1" ref="S68" ca="1">"("&amp;TEXT(INDIRECT(ADDRESS(ROW($D$38)+$A68,R$63+2)),"0.0")&amp;"%)"</f>
        <v>(0.2%)</v>
      </c>
      <c r="T68" s="6"/>
    </row>
    <row r="69" spans="1:20" ht="25" thickBot="1" x14ac:dyDescent="0.35">
      <c r="A69" s="1">
        <v>3</v>
      </c>
      <c r="B69" s="6"/>
      <c r="C69" s="25" t="str">
        <f t="shared" ca="1" si="25"/>
        <v>ifx_o3</v>
      </c>
      <c r="D69" s="12" cm="1">
        <f t="array" aca="1" ref="D69" ca="1">INDIRECT(ADDRESS(ROW($D$38)+$A69,D$63))</f>
        <v>6.4</v>
      </c>
      <c r="E69" s="13" t="str" cm="1">
        <f t="array" aca="1" ref="E69" ca="1">"("&amp;TEXT(INDIRECT(ADDRESS(ROW($D$38)+$A69,D$63+2)),"0.0")&amp;"%)"</f>
        <v>(4.6%)</v>
      </c>
      <c r="F69" s="14" cm="1">
        <f t="array" aca="1" ref="F69" ca="1">INDIRECT(ADDRESS(ROW($D$38)+$A69,F$63))</f>
        <v>5.4119999999999999</v>
      </c>
      <c r="G69" s="13" t="str" cm="1">
        <f t="array" aca="1" ref="G69" ca="1">"("&amp;TEXT(INDIRECT(ADDRESS(ROW($D$38)+$A69,F$63+2)),"0.0")&amp;"%)"</f>
        <v>(0.1%)</v>
      </c>
      <c r="H69" s="14" cm="1">
        <f t="array" aca="1" ref="H69" ca="1">INDIRECT(ADDRESS(ROW($D$38)+$A69,H$63))</f>
        <v>0</v>
      </c>
      <c r="I69" s="13" t="str" cm="1">
        <f t="array" aca="1" ref="I69" ca="1">"("&amp;TEXT(INDIRECT(ADDRESS(ROW($D$38)+$A69,H$63+2)),"0.0")&amp;"%)"</f>
        <v>(0.0%)</v>
      </c>
      <c r="J69" s="14" cm="1">
        <f t="array" aca="1" ref="J69" ca="1">INDIRECT(ADDRESS(ROW($D$38)+$A69,J$63))</f>
        <v>6.5609999999999999</v>
      </c>
      <c r="K69" s="15" t="str" cm="1">
        <f t="array" aca="1" ref="K69" ca="1">"("&amp;TEXT(INDIRECT(ADDRESS(ROW($D$38)+$A69,J$63+2)),"0.0")&amp;"%)"</f>
        <v>(0.2%)</v>
      </c>
      <c r="L69" s="18" cm="1">
        <f t="array" aca="1" ref="L69" ca="1">INDIRECT(ADDRESS(ROW($D$38)+$A69,L$63))</f>
        <v>4.1749999999999998</v>
      </c>
      <c r="M69" s="21" t="str" cm="1">
        <f t="array" aca="1" ref="M69" ca="1">"("&amp;TEXT(INDIRECT(ADDRESS(ROW($D$38)+$A69,L$63+2)),"0.0")&amp;"%)"</f>
        <v>(2.3%)</v>
      </c>
      <c r="N69" s="19" cm="1">
        <f t="array" aca="1" ref="N69" ca="1">INDIRECT(ADDRESS(ROW($D$38)+$A69,N$63))</f>
        <v>1.956</v>
      </c>
      <c r="O69" s="21" t="str" cm="1">
        <f t="array" aca="1" ref="O69" ca="1">"("&amp;TEXT(INDIRECT(ADDRESS(ROW($D$38)+$A69,N$63+2)),"0.0")&amp;"%)"</f>
        <v>(0.9%)</v>
      </c>
      <c r="P69" s="19" cm="1">
        <f t="array" aca="1" ref="P69" ca="1">INDIRECT(ADDRESS(ROW($D$38)+$A69,P$63))</f>
        <v>0</v>
      </c>
      <c r="Q69" s="21" t="str" cm="1">
        <f t="array" aca="1" ref="Q69" ca="1">"("&amp;TEXT(INDIRECT(ADDRESS(ROW($D$38)+$A69,P$63+2)),"0.0")&amp;"%)"</f>
        <v>(0.0%)</v>
      </c>
      <c r="R69" s="19" cm="1">
        <f t="array" aca="1" ref="R69" ca="1">INDIRECT(ADDRESS(ROW($D$38)+$A69,R$63))</f>
        <v>4.5999999999999996</v>
      </c>
      <c r="S69" s="23" t="str" cm="1">
        <f t="array" aca="1" ref="S69" ca="1">"("&amp;TEXT(INDIRECT(ADDRESS(ROW($D$38)+$A69,R$63+2)),"0.0")&amp;"%)"</f>
        <v>(0.2%)</v>
      </c>
      <c r="T69" s="6"/>
    </row>
    <row r="70" spans="1:20" x14ac:dyDescent="0.3">
      <c r="A70" s="1">
        <v>4</v>
      </c>
      <c r="B70" s="6"/>
      <c r="C70" s="33" t="str">
        <f t="shared" ca="1" si="25"/>
        <v>g++</v>
      </c>
      <c r="D70" s="34" cm="1">
        <f t="array" aca="1" ref="D70" ca="1">INDIRECT(ADDRESS(ROW($D$38)+$A70,D$63))</f>
        <v>7.1029999999999998</v>
      </c>
      <c r="E70" s="35" t="str" cm="1">
        <f t="array" aca="1" ref="E70" ca="1">"("&amp;TEXT(INDIRECT(ADDRESS(ROW($D$38)+$A70,D$63+2)),"0.0")&amp;"%)"</f>
        <v>(0.4%)</v>
      </c>
      <c r="F70" s="36" cm="1">
        <f t="array" aca="1" ref="F70" ca="1">INDIRECT(ADDRESS(ROW($D$38)+$A70,F$63))</f>
        <v>32.514000000000003</v>
      </c>
      <c r="G70" s="35" t="str" cm="1">
        <f t="array" aca="1" ref="G70" ca="1">"("&amp;TEXT(INDIRECT(ADDRESS(ROW($D$38)+$A70,F$63+2)),"0.0")&amp;"%)"</f>
        <v>(0.1%)</v>
      </c>
      <c r="H70" s="36" cm="1">
        <f t="array" aca="1" ref="H70" ca="1">INDIRECT(ADDRESS(ROW($D$38)+$A70,H$63))</f>
        <v>11.99</v>
      </c>
      <c r="I70" s="35" t="str" cm="1">
        <f t="array" aca="1" ref="I70" ca="1">"("&amp;TEXT(INDIRECT(ADDRESS(ROW($D$38)+$A70,H$63+2)),"0.0")&amp;"%)"</f>
        <v>(1.0%)</v>
      </c>
      <c r="J70" s="36" cm="1">
        <f t="array" aca="1" ref="J70" ca="1">INDIRECT(ADDRESS(ROW($D$38)+$A70,J$63))</f>
        <v>18.776</v>
      </c>
      <c r="K70" s="37" t="str" cm="1">
        <f t="array" aca="1" ref="K70" ca="1">"("&amp;TEXT(INDIRECT(ADDRESS(ROW($D$38)+$A70,J$63+2)),"0.0")&amp;"%)"</f>
        <v>(0.1%)</v>
      </c>
      <c r="L70" s="38" cm="1">
        <f t="array" aca="1" ref="L70" ca="1">INDIRECT(ADDRESS(ROW($D$38)+$A70,L$63))</f>
        <v>7.2619999999999996</v>
      </c>
      <c r="M70" s="39" t="str" cm="1">
        <f t="array" aca="1" ref="M70" ca="1">"("&amp;TEXT(INDIRECT(ADDRESS(ROW($D$38)+$A70,L$63+2)),"0.0")&amp;"%)"</f>
        <v>(0.5%)</v>
      </c>
      <c r="N70" s="40" cm="1">
        <f t="array" aca="1" ref="N70" ca="1">INDIRECT(ADDRESS(ROW($D$38)+$A70,N$63))</f>
        <v>27.06</v>
      </c>
      <c r="O70" s="39" t="str" cm="1">
        <f t="array" aca="1" ref="O70" ca="1">"("&amp;TEXT(INDIRECT(ADDRESS(ROW($D$38)+$A70,N$63+2)),"0.0")&amp;"%)"</f>
        <v>(0.1%)</v>
      </c>
      <c r="P70" s="40" cm="1">
        <f t="array" aca="1" ref="P70" ca="1">INDIRECT(ADDRESS(ROW($D$38)+$A70,P$63))</f>
        <v>12.045999999999999</v>
      </c>
      <c r="Q70" s="39" t="str" cm="1">
        <f t="array" aca="1" ref="Q70" ca="1">"("&amp;TEXT(INDIRECT(ADDRESS(ROW($D$38)+$A70,P$63+2)),"0.0")&amp;"%)"</f>
        <v>(1.0%)</v>
      </c>
      <c r="R70" s="40" cm="1">
        <f t="array" aca="1" ref="R70" ca="1">INDIRECT(ADDRESS(ROW($D$38)+$A70,R$63))</f>
        <v>18.713999999999999</v>
      </c>
      <c r="S70" s="41" t="str" cm="1">
        <f t="array" aca="1" ref="S70" ca="1">"("&amp;TEXT(INDIRECT(ADDRESS(ROW($D$38)+$A70,R$63+2)),"0.0")&amp;"%)"</f>
        <v>(0.0%)</v>
      </c>
      <c r="T70" s="6"/>
    </row>
    <row r="71" spans="1:20" x14ac:dyDescent="0.3">
      <c r="A71" s="1">
        <v>5</v>
      </c>
      <c r="B71" s="6"/>
      <c r="C71" s="24" t="str">
        <f t="shared" ca="1" si="25"/>
        <v>g++_o3</v>
      </c>
      <c r="D71" s="10" cm="1">
        <f t="array" aca="1" ref="D71" ca="1">INDIRECT(ADDRESS(ROW($D$38)+$A71,D$63))</f>
        <v>7.1879999999999997</v>
      </c>
      <c r="E71" s="9" t="str" cm="1">
        <f t="array" aca="1" ref="E71" ca="1">"("&amp;TEXT(INDIRECT(ADDRESS(ROW($D$38)+$A71,D$63+2)),"0.0")&amp;"%)"</f>
        <v>(0.5%)</v>
      </c>
      <c r="F71" s="8" cm="1">
        <f t="array" aca="1" ref="F71" ca="1">INDIRECT(ADDRESS(ROW($D$38)+$A71,F$63))</f>
        <v>18.853000000000002</v>
      </c>
      <c r="G71" s="9" t="str" cm="1">
        <f t="array" aca="1" ref="G71" ca="1">"("&amp;TEXT(INDIRECT(ADDRESS(ROW($D$38)+$A71,F$63+2)),"0.0")&amp;"%)"</f>
        <v>(0.1%)</v>
      </c>
      <c r="H71" s="8" cm="1">
        <f t="array" aca="1" ref="H71" ca="1">INDIRECT(ADDRESS(ROW($D$38)+$A71,H$63))</f>
        <v>11.964</v>
      </c>
      <c r="I71" s="9" t="str" cm="1">
        <f t="array" aca="1" ref="I71" ca="1">"("&amp;TEXT(INDIRECT(ADDRESS(ROW($D$38)+$A71,H$63+2)),"0.0")&amp;"%)"</f>
        <v>(0.7%)</v>
      </c>
      <c r="J71" s="8" cm="1">
        <f t="array" aca="1" ref="J71" ca="1">INDIRECT(ADDRESS(ROW($D$38)+$A71,J$63))</f>
        <v>12.433</v>
      </c>
      <c r="K71" s="11" t="str" cm="1">
        <f t="array" aca="1" ref="K71" ca="1">"("&amp;TEXT(INDIRECT(ADDRESS(ROW($D$38)+$A71,J$63+2)),"0.0")&amp;"%)"</f>
        <v>(0.1%)</v>
      </c>
      <c r="L71" s="16" cm="1">
        <f t="array" aca="1" ref="L71" ca="1">INDIRECT(ADDRESS(ROW($D$38)+$A71,L$63))</f>
        <v>7.0309999999999997</v>
      </c>
      <c r="M71" s="20" t="str" cm="1">
        <f t="array" aca="1" ref="M71" ca="1">"("&amp;TEXT(INDIRECT(ADDRESS(ROW($D$38)+$A71,L$63+2)),"0.0")&amp;"%)"</f>
        <v>(0.5%)</v>
      </c>
      <c r="N71" s="17" cm="1">
        <f t="array" aca="1" ref="N71" ca="1">INDIRECT(ADDRESS(ROW($D$38)+$A71,N$63))</f>
        <v>8.0909999999999993</v>
      </c>
      <c r="O71" s="20" t="str" cm="1">
        <f t="array" aca="1" ref="O71" ca="1">"("&amp;TEXT(INDIRECT(ADDRESS(ROW($D$38)+$A71,N$63+2)),"0.0")&amp;"%)"</f>
        <v>(0.1%)</v>
      </c>
      <c r="P71" s="17" cm="1">
        <f t="array" aca="1" ref="P71" ca="1">INDIRECT(ADDRESS(ROW($D$38)+$A71,P$63))</f>
        <v>12.285</v>
      </c>
      <c r="Q71" s="20" t="str" cm="1">
        <f t="array" aca="1" ref="Q71" ca="1">"("&amp;TEXT(INDIRECT(ADDRESS(ROW($D$38)+$A71,P$63+2)),"0.0")&amp;"%)"</f>
        <v>(0.8%)</v>
      </c>
      <c r="R71" s="17" cm="1">
        <f t="array" aca="1" ref="R71" ca="1">INDIRECT(ADDRESS(ROW($D$38)+$A71,R$63))</f>
        <v>9.6110000000000007</v>
      </c>
      <c r="S71" s="22" t="str" cm="1">
        <f t="array" aca="1" ref="S71" ca="1">"("&amp;TEXT(INDIRECT(ADDRESS(ROW($D$38)+$A71,R$63+2)),"0.0")&amp;"%)"</f>
        <v>(0.1%)</v>
      </c>
      <c r="T71" s="6"/>
    </row>
    <row r="72" spans="1:20" x14ac:dyDescent="0.3">
      <c r="A72" s="1">
        <v>6</v>
      </c>
      <c r="B72" s="6"/>
      <c r="C72" s="24" t="str">
        <f t="shared" ca="1" si="25"/>
        <v>icx</v>
      </c>
      <c r="D72" s="10" cm="1">
        <f t="array" aca="1" ref="D72" ca="1">INDIRECT(ADDRESS(ROW($D$38)+$A72,D$63))</f>
        <v>4.6509999999999998</v>
      </c>
      <c r="E72" s="9" t="str" cm="1">
        <f t="array" aca="1" ref="E72" ca="1">"("&amp;TEXT(INDIRECT(ADDRESS(ROW($D$38)+$A72,D$63+2)),"0.0")&amp;"%)"</f>
        <v>(1.4%)</v>
      </c>
      <c r="F72" s="8" cm="1">
        <f t="array" aca="1" ref="F72" ca="1">INDIRECT(ADDRESS(ROW($D$38)+$A72,F$63))</f>
        <v>1.903</v>
      </c>
      <c r="G72" s="9" t="str" cm="1">
        <f t="array" aca="1" ref="G72" ca="1">"("&amp;TEXT(INDIRECT(ADDRESS(ROW($D$38)+$A72,F$63+2)),"0.0")&amp;"%)"</f>
        <v>(1.0%)</v>
      </c>
      <c r="H72" s="8" cm="1">
        <f t="array" aca="1" ref="H72" ca="1">INDIRECT(ADDRESS(ROW($D$38)+$A72,H$63))</f>
        <v>0</v>
      </c>
      <c r="I72" s="9" t="str" cm="1">
        <f t="array" aca="1" ref="I72" ca="1">"("&amp;TEXT(INDIRECT(ADDRESS(ROW($D$38)+$A72,H$63+2)),"0.0")&amp;"%)"</f>
        <v>(0.0%)</v>
      </c>
      <c r="J72" s="8" cm="1">
        <f t="array" aca="1" ref="J72" ca="1">INDIRECT(ADDRESS(ROW($D$38)+$A72,J$63))</f>
        <v>5.3170000000000002</v>
      </c>
      <c r="K72" s="11" t="str" cm="1">
        <f t="array" aca="1" ref="K72" ca="1">"("&amp;TEXT(INDIRECT(ADDRESS(ROW($D$38)+$A72,J$63+2)),"0.0")&amp;"%)"</f>
        <v>(0.5%)</v>
      </c>
      <c r="L72" s="16" cm="1">
        <f t="array" aca="1" ref="L72" ca="1">INDIRECT(ADDRESS(ROW($D$38)+$A72,L$63))</f>
        <v>4.032</v>
      </c>
      <c r="M72" s="20" t="str" cm="1">
        <f t="array" aca="1" ref="M72" ca="1">"("&amp;TEXT(INDIRECT(ADDRESS(ROW($D$38)+$A72,L$63+2)),"0.0")&amp;"%)"</f>
        <v>(1.0%)</v>
      </c>
      <c r="N72" s="17" cm="1">
        <f t="array" aca="1" ref="N72" ca="1">INDIRECT(ADDRESS(ROW($D$38)+$A72,N$63))</f>
        <v>1.861</v>
      </c>
      <c r="O72" s="20" t="str" cm="1">
        <f t="array" aca="1" ref="O72" ca="1">"("&amp;TEXT(INDIRECT(ADDRESS(ROW($D$38)+$A72,N$63+2)),"0.0")&amp;"%)"</f>
        <v>(1.4%)</v>
      </c>
      <c r="P72" s="17" cm="1">
        <f t="array" aca="1" ref="P72" ca="1">INDIRECT(ADDRESS(ROW($D$38)+$A72,P$63))</f>
        <v>0</v>
      </c>
      <c r="Q72" s="20" t="str" cm="1">
        <f t="array" aca="1" ref="Q72" ca="1">"("&amp;TEXT(INDIRECT(ADDRESS(ROW($D$38)+$A72,P$63+2)),"0.0")&amp;"%)"</f>
        <v>(0.0%)</v>
      </c>
      <c r="R72" s="17" cm="1">
        <f t="array" aca="1" ref="R72" ca="1">INDIRECT(ADDRESS(ROW($D$38)+$A72,R$63))</f>
        <v>4.6340000000000003</v>
      </c>
      <c r="S72" s="22" t="str" cm="1">
        <f t="array" aca="1" ref="S72" ca="1">"("&amp;TEXT(INDIRECT(ADDRESS(ROW($D$38)+$A72,R$63+2)),"0.0")&amp;"%)"</f>
        <v>(0.2%)</v>
      </c>
      <c r="T72" s="6"/>
    </row>
    <row r="73" spans="1:20" ht="25" thickBot="1" x14ac:dyDescent="0.35">
      <c r="A73" s="1">
        <v>7</v>
      </c>
      <c r="B73" s="6"/>
      <c r="C73" s="25" t="str">
        <f t="shared" ca="1" si="25"/>
        <v>icx_o3</v>
      </c>
      <c r="D73" s="12" cm="1">
        <f t="array" aca="1" ref="D73" ca="1">INDIRECT(ADDRESS(ROW($D$38)+$A73,D$63))</f>
        <v>4.5759999999999996</v>
      </c>
      <c r="E73" s="13" t="str" cm="1">
        <f t="array" aca="1" ref="E73" ca="1">"("&amp;TEXT(INDIRECT(ADDRESS(ROW($D$38)+$A73,D$63+2)),"0.0")&amp;"%)"</f>
        <v>(1.2%)</v>
      </c>
      <c r="F73" s="14" cm="1">
        <f t="array" aca="1" ref="F73" ca="1">INDIRECT(ADDRESS(ROW($D$38)+$A73,F$63))</f>
        <v>1.9219999999999999</v>
      </c>
      <c r="G73" s="13" t="str" cm="1">
        <f t="array" aca="1" ref="G73" ca="1">"("&amp;TEXT(INDIRECT(ADDRESS(ROW($D$38)+$A73,F$63+2)),"0.0")&amp;"%)"</f>
        <v>(1.1%)</v>
      </c>
      <c r="H73" s="14" cm="1">
        <f t="array" aca="1" ref="H73" ca="1">INDIRECT(ADDRESS(ROW($D$38)+$A73,H$63))</f>
        <v>0</v>
      </c>
      <c r="I73" s="13" t="str" cm="1">
        <f t="array" aca="1" ref="I73" ca="1">"("&amp;TEXT(INDIRECT(ADDRESS(ROW($D$38)+$A73,H$63+2)),"0.0")&amp;"%)"</f>
        <v>(0.0%)</v>
      </c>
      <c r="J73" s="14" cm="1">
        <f t="array" aca="1" ref="J73" ca="1">INDIRECT(ADDRESS(ROW($D$38)+$A73,J$63))</f>
        <v>5.3029999999999999</v>
      </c>
      <c r="K73" s="15" t="str" cm="1">
        <f t="array" aca="1" ref="K73" ca="1">"("&amp;TEXT(INDIRECT(ADDRESS(ROW($D$38)+$A73,J$63+2)),"0.0")&amp;"%)"</f>
        <v>(0.5%)</v>
      </c>
      <c r="L73" s="18" cm="1">
        <f t="array" aca="1" ref="L73" ca="1">INDIRECT(ADDRESS(ROW($D$38)+$A73,L$63))</f>
        <v>4.069</v>
      </c>
      <c r="M73" s="21" t="str" cm="1">
        <f t="array" aca="1" ref="M73" ca="1">"("&amp;TEXT(INDIRECT(ADDRESS(ROW($D$38)+$A73,L$63+2)),"0.0")&amp;"%)"</f>
        <v>(1.2%)</v>
      </c>
      <c r="N73" s="19" cm="1">
        <f t="array" aca="1" ref="N73" ca="1">INDIRECT(ADDRESS(ROW($D$38)+$A73,N$63))</f>
        <v>1.837</v>
      </c>
      <c r="O73" s="21" t="str" cm="1">
        <f t="array" aca="1" ref="O73" ca="1">"("&amp;TEXT(INDIRECT(ADDRESS(ROW($D$38)+$A73,N$63+2)),"0.0")&amp;"%)"</f>
        <v>(1.3%)</v>
      </c>
      <c r="P73" s="19" cm="1">
        <f t="array" aca="1" ref="P73" ca="1">INDIRECT(ADDRESS(ROW($D$38)+$A73,P$63))</f>
        <v>0</v>
      </c>
      <c r="Q73" s="21" t="str" cm="1">
        <f t="array" aca="1" ref="Q73" ca="1">"("&amp;TEXT(INDIRECT(ADDRESS(ROW($D$38)+$A73,P$63+2)),"0.0")&amp;"%)"</f>
        <v>(0.0%)</v>
      </c>
      <c r="R73" s="19" cm="1">
        <f t="array" aca="1" ref="R73" ca="1">INDIRECT(ADDRESS(ROW($D$38)+$A73,R$63))</f>
        <v>4.6500000000000004</v>
      </c>
      <c r="S73" s="23" t="str" cm="1">
        <f t="array" aca="1" ref="S73" ca="1">"("&amp;TEXT(INDIRECT(ADDRESS(ROW($D$38)+$A73,R$63+2)),"0.0")&amp;"%)"</f>
        <v>(0.2%)</v>
      </c>
      <c r="T73" s="6"/>
    </row>
    <row r="74" spans="1:20" x14ac:dyDescent="0.3">
      <c r="A74" s="1">
        <v>8</v>
      </c>
      <c r="B74" s="6"/>
      <c r="C74" s="6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</row>
    <row r="75" spans="1:20" x14ac:dyDescent="0.3">
      <c r="A75" s="1">
        <v>9</v>
      </c>
      <c r="B75" s="6"/>
      <c r="C75" s="6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</row>
    <row r="76" spans="1:20" x14ac:dyDescent="0.3">
      <c r="A76" s="1">
        <v>10</v>
      </c>
      <c r="B76" s="6"/>
      <c r="C76" s="6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</row>
    <row r="77" spans="1:20" x14ac:dyDescent="0.3">
      <c r="A77" s="1">
        <v>11</v>
      </c>
      <c r="B77" s="6"/>
      <c r="C77" s="6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</row>
    <row r="78" spans="1:20" x14ac:dyDescent="0.3">
      <c r="A78" s="1">
        <v>12</v>
      </c>
      <c r="B78" s="6"/>
      <c r="C78" s="6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</row>
    <row r="79" spans="1:20" x14ac:dyDescent="0.3">
      <c r="A79" s="1">
        <v>13</v>
      </c>
      <c r="B79" s="6"/>
      <c r="C79" s="6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</row>
    <row r="80" spans="1:20" x14ac:dyDescent="0.3">
      <c r="A80" s="1">
        <v>14</v>
      </c>
      <c r="B80" s="6"/>
      <c r="C80" s="6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</row>
    <row r="81" spans="1:20" x14ac:dyDescent="0.3">
      <c r="A81" s="1">
        <v>15</v>
      </c>
      <c r="B81" s="6"/>
      <c r="C81" s="6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</row>
    <row r="82" spans="1:20" x14ac:dyDescent="0.3">
      <c r="A82" s="1">
        <v>16</v>
      </c>
      <c r="B82" s="6"/>
      <c r="C82" s="6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</row>
    <row r="83" spans="1:20" x14ac:dyDescent="0.3">
      <c r="A83" s="1">
        <v>17</v>
      </c>
      <c r="B83" s="6"/>
      <c r="C83" s="6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</row>
    <row r="84" spans="1:20" x14ac:dyDescent="0.3">
      <c r="A84" s="1">
        <v>18</v>
      </c>
      <c r="B84" s="6"/>
      <c r="C84" s="6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</row>
    <row r="85" spans="1:20" x14ac:dyDescent="0.3">
      <c r="A85" s="1">
        <v>19</v>
      </c>
      <c r="B85" s="6"/>
      <c r="C85" s="6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</row>
    <row r="86" spans="1:20" x14ac:dyDescent="0.3">
      <c r="A86" s="1">
        <v>20</v>
      </c>
      <c r="B86" s="6"/>
      <c r="C86" s="6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</row>
    <row r="87" spans="1:20" x14ac:dyDescent="0.3">
      <c r="A87" s="1">
        <v>21</v>
      </c>
      <c r="B87" s="6"/>
      <c r="C87" s="6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</row>
    <row r="88" spans="1:20" x14ac:dyDescent="0.3">
      <c r="A88" s="1">
        <v>22</v>
      </c>
      <c r="B88" s="6"/>
      <c r="C88" s="6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</row>
    <row r="89" spans="1:20" x14ac:dyDescent="0.3">
      <c r="A89" s="1">
        <v>23</v>
      </c>
      <c r="B89" s="6"/>
      <c r="C89" s="6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</row>
    <row r="90" spans="1:20" x14ac:dyDescent="0.3">
      <c r="A90" s="1">
        <v>24</v>
      </c>
      <c r="B90" s="6"/>
      <c r="C90" s="6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</row>
  </sheetData>
  <mergeCells count="8">
    <mergeCell ref="P65:Q65"/>
    <mergeCell ref="R65:S65"/>
    <mergeCell ref="D65:E65"/>
    <mergeCell ref="F65:G65"/>
    <mergeCell ref="H65:I65"/>
    <mergeCell ref="J65:K65"/>
    <mergeCell ref="L65:M65"/>
    <mergeCell ref="N65:O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1D5D-168B-874E-8827-D5F318E0AA64}">
  <dimension ref="A5:AC90"/>
  <sheetViews>
    <sheetView topLeftCell="A35" workbookViewId="0">
      <selection activeCell="I84" sqref="I84"/>
    </sheetView>
  </sheetViews>
  <sheetFormatPr baseColWidth="10" defaultRowHeight="24" x14ac:dyDescent="0.3"/>
  <cols>
    <col min="1" max="1" width="10.83203125" style="1"/>
    <col min="2" max="2" width="15.5" style="1" customWidth="1"/>
    <col min="3" max="3" width="18.33203125" style="1" customWidth="1"/>
    <col min="4" max="4" width="9.33203125" style="1" customWidth="1"/>
    <col min="5" max="5" width="11.83203125" style="1" customWidth="1"/>
    <col min="6" max="6" width="9.33203125" style="1" customWidth="1"/>
    <col min="7" max="7" width="11.83203125" style="1" customWidth="1"/>
    <col min="8" max="8" width="9.33203125" style="1" customWidth="1"/>
    <col min="9" max="9" width="11.83203125" style="1" customWidth="1"/>
    <col min="10" max="10" width="9.33203125" style="1" customWidth="1"/>
    <col min="11" max="11" width="11.83203125" style="1" customWidth="1"/>
    <col min="12" max="12" width="9.33203125" style="1" customWidth="1"/>
    <col min="13" max="13" width="11.83203125" style="1" customWidth="1"/>
    <col min="14" max="14" width="9.33203125" style="1" customWidth="1"/>
    <col min="15" max="15" width="11.83203125" style="1" customWidth="1"/>
    <col min="16" max="16" width="9.33203125" style="1" customWidth="1"/>
    <col min="17" max="17" width="11.83203125" style="1" customWidth="1"/>
    <col min="18" max="18" width="9.33203125" style="1" customWidth="1"/>
    <col min="19" max="19" width="11.83203125" style="1" customWidth="1"/>
    <col min="20" max="29" width="20.83203125" style="1" customWidth="1"/>
    <col min="30" max="16384" width="10.83203125" style="1"/>
  </cols>
  <sheetData>
    <row r="5" spans="1:29" x14ac:dyDescent="0.3">
      <c r="B5" s="1" t="s">
        <v>141</v>
      </c>
      <c r="C5" s="5">
        <v>106</v>
      </c>
    </row>
    <row r="6" spans="1:29" x14ac:dyDescent="0.3">
      <c r="C6" s="1" t="s">
        <v>142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</row>
    <row r="10" spans="1:29" ht="100" x14ac:dyDescent="0.3">
      <c r="C10" s="4" t="s">
        <v>140</v>
      </c>
      <c r="D10" s="3" t="s">
        <v>137</v>
      </c>
      <c r="G10" s="3" t="s">
        <v>143</v>
      </c>
      <c r="J10" s="3" t="s">
        <v>138</v>
      </c>
      <c r="M10" s="3" t="s">
        <v>144</v>
      </c>
      <c r="P10" s="3" t="s">
        <v>139</v>
      </c>
      <c r="S10" s="3" t="s">
        <v>145</v>
      </c>
      <c r="V10" s="3" t="s">
        <v>147</v>
      </c>
      <c r="Y10" s="3" t="s">
        <v>146</v>
      </c>
      <c r="AB10" s="3"/>
      <c r="AC10" s="3"/>
    </row>
    <row r="11" spans="1:29" x14ac:dyDescent="0.3">
      <c r="A11" s="1">
        <v>0</v>
      </c>
      <c r="C11" s="1" t="str" cm="1">
        <f t="array" aca="1" ref="C11" ca="1">INDIRECT("RawData!A"&amp;TEXT(C$5+A11,"0"))</f>
        <v>Test8/gfortran.x</v>
      </c>
      <c r="D11" s="1" cm="1">
        <f t="array" aca="1" ref="D11" ca="1">INDIRECT("RawData!"&amp;ADDRESS($C$5+$A11,D$6))</f>
        <v>7.0679999999999996</v>
      </c>
      <c r="E11" s="1" cm="1">
        <f t="array" aca="1" ref="E11" ca="1">INDIRECT("RawData!"&amp;ADDRESS($C$5+$A11,E$6))</f>
        <v>0.20241999999999999</v>
      </c>
      <c r="F11" s="1" cm="1">
        <f t="array" aca="1" ref="F11" ca="1">INDIRECT("RawData!"&amp;ADDRESS($C$5+$A11,F$6))</f>
        <v>3.2009999999999997E-2</v>
      </c>
      <c r="G11" s="1" cm="1">
        <f t="array" aca="1" ref="G11" ca="1">INDIRECT("RawData!"&amp;ADDRESS($C$5+$A11,G$6))</f>
        <v>7.0380000000000003</v>
      </c>
      <c r="H11" s="1" cm="1">
        <f t="array" aca="1" ref="H11" ca="1">INDIRECT("RawData!"&amp;ADDRESS($C$5+$A11,H$6))</f>
        <v>0.16947999999999999</v>
      </c>
      <c r="I11" s="1" cm="1">
        <f t="array" aca="1" ref="I11" ca="1">INDIRECT("RawData!"&amp;ADDRESS($C$5+$A11,I$6))</f>
        <v>2.6800000000000001E-2</v>
      </c>
      <c r="J11" s="1" cm="1">
        <f t="array" aca="1" ref="J11" ca="1">INDIRECT("RawData!"&amp;ADDRESS($C$5+$A11,J$6))</f>
        <v>5.42</v>
      </c>
      <c r="K11" s="1" cm="1">
        <f t="array" aca="1" ref="K11" ca="1">INDIRECT("RawData!"&amp;ADDRESS($C$5+$A11,K$6))</f>
        <v>1.9060000000000001E-2</v>
      </c>
      <c r="L11" s="1" cm="1">
        <f t="array" aca="1" ref="L11" ca="1">INDIRECT("RawData!"&amp;ADDRESS($C$5+$A11,L$6))</f>
        <v>3.0100000000000001E-3</v>
      </c>
      <c r="M11" s="1" cm="1">
        <f t="array" aca="1" ref="M11" ca="1">INDIRECT("RawData!"&amp;ADDRESS($C$5+$A11,M$6))</f>
        <v>5.399</v>
      </c>
      <c r="N11" s="1" cm="1">
        <f t="array" aca="1" ref="N11" ca="1">INDIRECT("RawData!"&amp;ADDRESS($C$5+$A11,N$6))</f>
        <v>1.678E-2</v>
      </c>
      <c r="O11" s="1" cm="1">
        <f t="array" aca="1" ref="O11" ca="1">INDIRECT("RawData!"&amp;ADDRESS($C$5+$A11,O$6))</f>
        <v>2.65E-3</v>
      </c>
      <c r="P11" s="1" cm="1">
        <f t="array" aca="1" ref="P11" ca="1">INDIRECT("RawData!"&amp;ADDRESS($C$5+$A11,P$6))</f>
        <v>11.939</v>
      </c>
      <c r="Q11" s="1" cm="1">
        <f t="array" aca="1" ref="Q11" ca="1">INDIRECT("RawData!"&amp;ADDRESS($C$5+$A11,Q$6))</f>
        <v>0.62456</v>
      </c>
      <c r="R11" s="1" cm="1">
        <f t="array" aca="1" ref="R11" ca="1">INDIRECT("RawData!"&amp;ADDRESS($C$5+$A11,R$6))</f>
        <v>9.8750000000000004E-2</v>
      </c>
      <c r="S11" s="1" cm="1">
        <f t="array" aca="1" ref="S11" ca="1">INDIRECT("RawData!"&amp;ADDRESS($C$5+$A11,S$6))</f>
        <v>11.974</v>
      </c>
      <c r="T11" s="1" cm="1">
        <f t="array" aca="1" ref="T11" ca="1">INDIRECT("RawData!"&amp;ADDRESS($C$5+$A11,T$6))</f>
        <v>0.50341999999999998</v>
      </c>
      <c r="U11" s="1" cm="1">
        <f t="array" aca="1" ref="U11" ca="1">INDIRECT("RawData!"&amp;ADDRESS($C$5+$A11,U$6))</f>
        <v>7.9600000000000004E-2</v>
      </c>
      <c r="V11" s="1" cm="1">
        <f t="array" aca="1" ref="V11" ca="1">INDIRECT("RawData!"&amp;ADDRESS($C$5+$A11,V$6))</f>
        <v>6.5730000000000004</v>
      </c>
      <c r="W11" s="1" cm="1">
        <f t="array" aca="1" ref="W11" ca="1">INDIRECT("RawData!"&amp;ADDRESS($C$5+$A11,W$6))</f>
        <v>5.6410000000000002E-2</v>
      </c>
      <c r="X11" s="1" cm="1">
        <f t="array" aca="1" ref="X11" ca="1">INDIRECT("RawData!"&amp;ADDRESS($C$5+$A11,X$6))</f>
        <v>8.9200000000000008E-3</v>
      </c>
      <c r="Y11" s="1" cm="1">
        <f t="array" aca="1" ref="Y11" ca="1">INDIRECT("RawData!"&amp;ADDRESS($C$5+$A11,Y$6))</f>
        <v>6.5869999999999997</v>
      </c>
      <c r="Z11" s="1" cm="1">
        <f t="array" aca="1" ref="Z11" ca="1">INDIRECT("RawData!"&amp;ADDRESS($C$5+$A11,Z$6))</f>
        <v>5.5320000000000001E-2</v>
      </c>
      <c r="AA11" s="1" cm="1">
        <f t="array" aca="1" ref="AA11" ca="1">INDIRECT("RawData!"&amp;ADDRESS($C$5+$A11,AA$6))</f>
        <v>8.7500000000000008E-3</v>
      </c>
    </row>
    <row r="12" spans="1:29" x14ac:dyDescent="0.3">
      <c r="A12" s="1">
        <v>1</v>
      </c>
      <c r="C12" s="1" t="str" cm="1">
        <f t="array" aca="1" ref="C12" ca="1">INDIRECT("RawData!A"&amp;TEXT(C$5+A12,"0"))</f>
        <v>Test8/gfortran_o3.x</v>
      </c>
      <c r="D12" s="1" cm="1">
        <f t="array" aca="1" ref="D12" ca="1">INDIRECT("RawData!"&amp;ADDRESS($C$5+$A12,D$6))</f>
        <v>7.0940000000000003</v>
      </c>
      <c r="E12" s="1" cm="1">
        <f t="array" aca="1" ref="E12" ca="1">INDIRECT("RawData!"&amp;ADDRESS($C$5+$A12,E$6))</f>
        <v>0.20164000000000001</v>
      </c>
      <c r="F12" s="1" cm="1">
        <f t="array" aca="1" ref="F12" ca="1">INDIRECT("RawData!"&amp;ADDRESS($C$5+$A12,F$6))</f>
        <v>3.1879999999999999E-2</v>
      </c>
      <c r="G12" s="1" cm="1">
        <f t="array" aca="1" ref="G12" ca="1">INDIRECT("RawData!"&amp;ADDRESS($C$5+$A12,G$6))</f>
        <v>7.0359999999999996</v>
      </c>
      <c r="H12" s="1" cm="1">
        <f t="array" aca="1" ref="H12" ca="1">INDIRECT("RawData!"&amp;ADDRESS($C$5+$A12,H$6))</f>
        <v>0.28634999999999999</v>
      </c>
      <c r="I12" s="1" cm="1">
        <f t="array" aca="1" ref="I12" ca="1">INDIRECT("RawData!"&amp;ADDRESS($C$5+$A12,I$6))</f>
        <v>4.5280000000000001E-2</v>
      </c>
      <c r="J12" s="1" cm="1">
        <f t="array" aca="1" ref="J12" ca="1">INDIRECT("RawData!"&amp;ADDRESS($C$5+$A12,J$6))</f>
        <v>5.4189999999999996</v>
      </c>
      <c r="K12" s="1" cm="1">
        <f t="array" aca="1" ref="K12" ca="1">INDIRECT("RawData!"&amp;ADDRESS($C$5+$A12,K$6))</f>
        <v>2.5909999999999999E-2</v>
      </c>
      <c r="L12" s="1" cm="1">
        <f t="array" aca="1" ref="L12" ca="1">INDIRECT("RawData!"&amp;ADDRESS($C$5+$A12,L$6))</f>
        <v>4.1000000000000003E-3</v>
      </c>
      <c r="M12" s="1" cm="1">
        <f t="array" aca="1" ref="M12" ca="1">INDIRECT("RawData!"&amp;ADDRESS($C$5+$A12,M$6))</f>
        <v>5.4180000000000001</v>
      </c>
      <c r="N12" s="1" cm="1">
        <f t="array" aca="1" ref="N12" ca="1">INDIRECT("RawData!"&amp;ADDRESS($C$5+$A12,N$6))</f>
        <v>3.2680000000000001E-2</v>
      </c>
      <c r="O12" s="1" cm="1">
        <f t="array" aca="1" ref="O12" ca="1">INDIRECT("RawData!"&amp;ADDRESS($C$5+$A12,O$6))</f>
        <v>5.1700000000000001E-3</v>
      </c>
      <c r="P12" s="1" cm="1">
        <f t="array" aca="1" ref="P12" ca="1">INDIRECT("RawData!"&amp;ADDRESS($C$5+$A12,P$6))</f>
        <v>12.004</v>
      </c>
      <c r="Q12" s="1" cm="1">
        <f t="array" aca="1" ref="Q12" ca="1">INDIRECT("RawData!"&amp;ADDRESS($C$5+$A12,Q$6))</f>
        <v>0.46777000000000002</v>
      </c>
      <c r="R12" s="1" cm="1">
        <f t="array" aca="1" ref="R12" ca="1">INDIRECT("RawData!"&amp;ADDRESS($C$5+$A12,R$6))</f>
        <v>7.3959999999999998E-2</v>
      </c>
      <c r="S12" s="1" cm="1">
        <f t="array" aca="1" ref="S12" ca="1">INDIRECT("RawData!"&amp;ADDRESS($C$5+$A12,S$6))</f>
        <v>12.082000000000001</v>
      </c>
      <c r="T12" s="1" cm="1">
        <f t="array" aca="1" ref="T12" ca="1">INDIRECT("RawData!"&amp;ADDRESS($C$5+$A12,T$6))</f>
        <v>0.55462999999999996</v>
      </c>
      <c r="U12" s="1" cm="1">
        <f t="array" aca="1" ref="U12" ca="1">INDIRECT("RawData!"&amp;ADDRESS($C$5+$A12,U$6))</f>
        <v>8.77E-2</v>
      </c>
      <c r="V12" s="1" cm="1">
        <f t="array" aca="1" ref="V12" ca="1">INDIRECT("RawData!"&amp;ADDRESS($C$5+$A12,V$6))</f>
        <v>6.5259999999999998</v>
      </c>
      <c r="W12" s="1" cm="1">
        <f t="array" aca="1" ref="W12" ca="1">INDIRECT("RawData!"&amp;ADDRESS($C$5+$A12,W$6))</f>
        <v>5.2659999999999998E-2</v>
      </c>
      <c r="X12" s="1" cm="1">
        <f t="array" aca="1" ref="X12" ca="1">INDIRECT("RawData!"&amp;ADDRESS($C$5+$A12,X$6))</f>
        <v>8.3300000000000006E-3</v>
      </c>
      <c r="Y12" s="1" cm="1">
        <f t="array" aca="1" ref="Y12" ca="1">INDIRECT("RawData!"&amp;ADDRESS($C$5+$A12,Y$6))</f>
        <v>6.5419999999999998</v>
      </c>
      <c r="Z12" s="1" cm="1">
        <f t="array" aca="1" ref="Z12" ca="1">INDIRECT("RawData!"&amp;ADDRESS($C$5+$A12,Z$6))</f>
        <v>4.65E-2</v>
      </c>
      <c r="AA12" s="1" cm="1">
        <f t="array" aca="1" ref="AA12" ca="1">INDIRECT("RawData!"&amp;ADDRESS($C$5+$A12,AA$6))</f>
        <v>7.3499999999999998E-3</v>
      </c>
    </row>
    <row r="13" spans="1:29" x14ac:dyDescent="0.3">
      <c r="A13" s="1">
        <v>2</v>
      </c>
      <c r="C13" s="1" t="str" cm="1">
        <f t="array" aca="1" ref="C13" ca="1">INDIRECT("RawData!A"&amp;TEXT(C$5+A13,"0"))</f>
        <v>Test8/ifx.x</v>
      </c>
      <c r="D13" s="1" cm="1">
        <f t="array" aca="1" ref="D13" ca="1">INDIRECT("RawData!"&amp;ADDRESS($C$5+$A13,D$6))</f>
        <v>6.5250000000000004</v>
      </c>
      <c r="E13" s="1" cm="1">
        <f t="array" aca="1" ref="E13" ca="1">INDIRECT("RawData!"&amp;ADDRESS($C$5+$A13,E$6))</f>
        <v>1.6010800000000001</v>
      </c>
      <c r="F13" s="1" cm="1">
        <f t="array" aca="1" ref="F13" ca="1">INDIRECT("RawData!"&amp;ADDRESS($C$5+$A13,F$6))</f>
        <v>0.25314999999999999</v>
      </c>
      <c r="G13" s="1" cm="1">
        <f t="array" aca="1" ref="G13" ca="1">INDIRECT("RawData!"&amp;ADDRESS($C$5+$A13,G$6))</f>
        <v>3.9750000000000001</v>
      </c>
      <c r="H13" s="1" cm="1">
        <f t="array" aca="1" ref="H13" ca="1">INDIRECT("RawData!"&amp;ADDRESS($C$5+$A13,H$6))</f>
        <v>0.91952</v>
      </c>
      <c r="I13" s="1" cm="1">
        <f t="array" aca="1" ref="I13" ca="1">INDIRECT("RawData!"&amp;ADDRESS($C$5+$A13,I$6))</f>
        <v>0.14538999999999999</v>
      </c>
      <c r="J13" s="1" cm="1">
        <f t="array" aca="1" ref="J13" ca="1">INDIRECT("RawData!"&amp;ADDRESS($C$5+$A13,J$6))</f>
        <v>5.4009999999999998</v>
      </c>
      <c r="K13" s="1" cm="1">
        <f t="array" aca="1" ref="K13" ca="1">INDIRECT("RawData!"&amp;ADDRESS($C$5+$A13,K$6))</f>
        <v>1.822E-2</v>
      </c>
      <c r="L13" s="1" cm="1">
        <f t="array" aca="1" ref="L13" ca="1">INDIRECT("RawData!"&amp;ADDRESS($C$5+$A13,L$6))</f>
        <v>2.8800000000000002E-3</v>
      </c>
      <c r="M13" s="1" cm="1">
        <f t="array" aca="1" ref="M13" ca="1">INDIRECT("RawData!"&amp;ADDRESS($C$5+$A13,M$6))</f>
        <v>1.972</v>
      </c>
      <c r="N13" s="1" cm="1">
        <f t="array" aca="1" ref="N13" ca="1">INDIRECT("RawData!"&amp;ADDRESS($C$5+$A13,N$6))</f>
        <v>0.11791</v>
      </c>
      <c r="O13" s="1" cm="1">
        <f t="array" aca="1" ref="O13" ca="1">INDIRECT("RawData!"&amp;ADDRESS($C$5+$A13,O$6))</f>
        <v>1.864E-2</v>
      </c>
      <c r="P13" s="1" cm="1">
        <f t="array" aca="1" ref="P13" ca="1">INDIRECT("RawData!"&amp;ADDRESS($C$5+$A13,P$6))</f>
        <v>0</v>
      </c>
      <c r="Q13" s="1" cm="1">
        <f t="array" aca="1" ref="Q13" ca="1">INDIRECT("RawData!"&amp;ADDRESS($C$5+$A13,Q$6))</f>
        <v>0</v>
      </c>
      <c r="R13" s="1" cm="1">
        <f t="array" aca="1" ref="R13" ca="1">INDIRECT("RawData!"&amp;ADDRESS($C$5+$A13,R$6))</f>
        <v>0</v>
      </c>
      <c r="S13" s="1" cm="1">
        <f t="array" aca="1" ref="S13" ca="1">INDIRECT("RawData!"&amp;ADDRESS($C$5+$A13,S$6))</f>
        <v>0</v>
      </c>
      <c r="T13" s="1" cm="1">
        <f t="array" aca="1" ref="T13" ca="1">INDIRECT("RawData!"&amp;ADDRESS($C$5+$A13,T$6))</f>
        <v>0</v>
      </c>
      <c r="U13" s="1" cm="1">
        <f t="array" aca="1" ref="U13" ca="1">INDIRECT("RawData!"&amp;ADDRESS($C$5+$A13,U$6))</f>
        <v>0</v>
      </c>
      <c r="V13" s="1" cm="1">
        <f t="array" aca="1" ref="V13" ca="1">INDIRECT("RawData!"&amp;ADDRESS($C$5+$A13,V$6))</f>
        <v>6.532</v>
      </c>
      <c r="W13" s="1" cm="1">
        <f t="array" aca="1" ref="W13" ca="1">INDIRECT("RawData!"&amp;ADDRESS($C$5+$A13,W$6))</f>
        <v>5.5460000000000002E-2</v>
      </c>
      <c r="X13" s="1" cm="1">
        <f t="array" aca="1" ref="X13" ca="1">INDIRECT("RawData!"&amp;ADDRESS($C$5+$A13,X$6))</f>
        <v>8.77E-3</v>
      </c>
      <c r="Y13" s="1" cm="1">
        <f t="array" aca="1" ref="Y13" ca="1">INDIRECT("RawData!"&amp;ADDRESS($C$5+$A13,Y$6))</f>
        <v>4.5960000000000001</v>
      </c>
      <c r="Z13" s="1" cm="1">
        <f t="array" aca="1" ref="Z13" ca="1">INDIRECT("RawData!"&amp;ADDRESS($C$5+$A13,Z$6))</f>
        <v>5.9790000000000003E-2</v>
      </c>
      <c r="AA13" s="1" cm="1">
        <f t="array" aca="1" ref="AA13" ca="1">INDIRECT("RawData!"&amp;ADDRESS($C$5+$A13,AA$6))</f>
        <v>9.4500000000000001E-3</v>
      </c>
    </row>
    <row r="14" spans="1:29" x14ac:dyDescent="0.3">
      <c r="A14" s="1">
        <v>3</v>
      </c>
      <c r="C14" s="1" t="str" cm="1">
        <f t="array" aca="1" ref="C14" ca="1">INDIRECT("RawData!A"&amp;TEXT(C$5+A14,"0"))</f>
        <v>Test8/ifx_o3.x</v>
      </c>
      <c r="D14" s="1" cm="1">
        <f t="array" aca="1" ref="D14" ca="1">INDIRECT("RawData!"&amp;ADDRESS($C$5+$A14,D$6))</f>
        <v>6.875</v>
      </c>
      <c r="E14" s="1" cm="1">
        <f t="array" aca="1" ref="E14" ca="1">INDIRECT("RawData!"&amp;ADDRESS($C$5+$A14,E$6))</f>
        <v>1.0174799999999999</v>
      </c>
      <c r="F14" s="1" cm="1">
        <f t="array" aca="1" ref="F14" ca="1">INDIRECT("RawData!"&amp;ADDRESS($C$5+$A14,F$6))</f>
        <v>0.16088</v>
      </c>
      <c r="G14" s="1" cm="1">
        <f t="array" aca="1" ref="G14" ca="1">INDIRECT("RawData!"&amp;ADDRESS($C$5+$A14,G$6))</f>
        <v>3.95</v>
      </c>
      <c r="H14" s="1" cm="1">
        <f t="array" aca="1" ref="H14" ca="1">INDIRECT("RawData!"&amp;ADDRESS($C$5+$A14,H$6))</f>
        <v>1.7386999999999999</v>
      </c>
      <c r="I14" s="1" cm="1">
        <f t="array" aca="1" ref="I14" ca="1">INDIRECT("RawData!"&amp;ADDRESS($C$5+$A14,I$6))</f>
        <v>0.27490999999999999</v>
      </c>
      <c r="J14" s="1" cm="1">
        <f t="array" aca="1" ref="J14" ca="1">INDIRECT("RawData!"&amp;ADDRESS($C$5+$A14,J$6))</f>
        <v>5.423</v>
      </c>
      <c r="K14" s="1" cm="1">
        <f t="array" aca="1" ref="K14" ca="1">INDIRECT("RawData!"&amp;ADDRESS($C$5+$A14,K$6))</f>
        <v>2.775E-2</v>
      </c>
      <c r="L14" s="1" cm="1">
        <f t="array" aca="1" ref="L14" ca="1">INDIRECT("RawData!"&amp;ADDRESS($C$5+$A14,L$6))</f>
        <v>4.3899999999999998E-3</v>
      </c>
      <c r="M14" s="1" cm="1">
        <f t="array" aca="1" ref="M14" ca="1">INDIRECT("RawData!"&amp;ADDRESS($C$5+$A14,M$6))</f>
        <v>1.9379999999999999</v>
      </c>
      <c r="N14" s="1" cm="1">
        <f t="array" aca="1" ref="N14" ca="1">INDIRECT("RawData!"&amp;ADDRESS($C$5+$A14,N$6))</f>
        <v>0.11422</v>
      </c>
      <c r="O14" s="1" cm="1">
        <f t="array" aca="1" ref="O14" ca="1">INDIRECT("RawData!"&amp;ADDRESS($C$5+$A14,O$6))</f>
        <v>1.806E-2</v>
      </c>
      <c r="P14" s="1" cm="1">
        <f t="array" aca="1" ref="P14" ca="1">INDIRECT("RawData!"&amp;ADDRESS($C$5+$A14,P$6))</f>
        <v>0</v>
      </c>
      <c r="Q14" s="1" cm="1">
        <f t="array" aca="1" ref="Q14" ca="1">INDIRECT("RawData!"&amp;ADDRESS($C$5+$A14,Q$6))</f>
        <v>0</v>
      </c>
      <c r="R14" s="1" cm="1">
        <f t="array" aca="1" ref="R14" ca="1">INDIRECT("RawData!"&amp;ADDRESS($C$5+$A14,R$6))</f>
        <v>0</v>
      </c>
      <c r="S14" s="1" cm="1">
        <f t="array" aca="1" ref="S14" ca="1">INDIRECT("RawData!"&amp;ADDRESS($C$5+$A14,S$6))</f>
        <v>0</v>
      </c>
      <c r="T14" s="1" cm="1">
        <f t="array" aca="1" ref="T14" ca="1">INDIRECT("RawData!"&amp;ADDRESS($C$5+$A14,T$6))</f>
        <v>0</v>
      </c>
      <c r="U14" s="1" cm="1">
        <f t="array" aca="1" ref="U14" ca="1">INDIRECT("RawData!"&amp;ADDRESS($C$5+$A14,U$6))</f>
        <v>0</v>
      </c>
      <c r="V14" s="1" cm="1">
        <f t="array" aca="1" ref="V14" ca="1">INDIRECT("RawData!"&amp;ADDRESS($C$5+$A14,V$6))</f>
        <v>6.5460000000000003</v>
      </c>
      <c r="W14" s="1" cm="1">
        <f t="array" aca="1" ref="W14" ca="1">INDIRECT("RawData!"&amp;ADDRESS($C$5+$A14,W$6))</f>
        <v>4.5999999999999999E-2</v>
      </c>
      <c r="X14" s="1" cm="1">
        <f t="array" aca="1" ref="X14" ca="1">INDIRECT("RawData!"&amp;ADDRESS($C$5+$A14,X$6))</f>
        <v>7.2700000000000004E-3</v>
      </c>
      <c r="Y14" s="1" cm="1">
        <f t="array" aca="1" ref="Y14" ca="1">INDIRECT("RawData!"&amp;ADDRESS($C$5+$A14,Y$6))</f>
        <v>4.6029999999999998</v>
      </c>
      <c r="Z14" s="1" cm="1">
        <f t="array" aca="1" ref="Z14" ca="1">INDIRECT("RawData!"&amp;ADDRESS($C$5+$A14,Z$6))</f>
        <v>4.9059999999999999E-2</v>
      </c>
      <c r="AA14" s="1" cm="1">
        <f t="array" aca="1" ref="AA14" ca="1">INDIRECT("RawData!"&amp;ADDRESS($C$5+$A14,AA$6))</f>
        <v>7.7600000000000004E-3</v>
      </c>
    </row>
    <row r="15" spans="1:29" x14ac:dyDescent="0.3">
      <c r="A15" s="1">
        <v>4</v>
      </c>
      <c r="C15" s="1" t="str" cm="1">
        <f t="array" aca="1" ref="C15" ca="1">INDIRECT("RawData!A"&amp;TEXT(C$5+A15,"0"))</f>
        <v>Test8/gpp.x</v>
      </c>
      <c r="D15" s="1" cm="1">
        <f t="array" aca="1" ref="D15" ca="1">INDIRECT("RawData!"&amp;ADDRESS($C$5+$A15,D$6))</f>
        <v>7.0819999999999999</v>
      </c>
      <c r="E15" s="1" cm="1">
        <f t="array" aca="1" ref="E15" ca="1">INDIRECT("RawData!"&amp;ADDRESS($C$5+$A15,E$6))</f>
        <v>0.20796000000000001</v>
      </c>
      <c r="F15" s="1" cm="1">
        <f t="array" aca="1" ref="F15" ca="1">INDIRECT("RawData!"&amp;ADDRESS($C$5+$A15,F$6))</f>
        <v>3.288E-2</v>
      </c>
      <c r="G15" s="1" cm="1">
        <f t="array" aca="1" ref="G15" ca="1">INDIRECT("RawData!"&amp;ADDRESS($C$5+$A15,G$6))</f>
        <v>7.5209999999999999</v>
      </c>
      <c r="H15" s="1" cm="1">
        <f t="array" aca="1" ref="H15" ca="1">INDIRECT("RawData!"&amp;ADDRESS($C$5+$A15,H$6))</f>
        <v>0.48555999999999999</v>
      </c>
      <c r="I15" s="1" cm="1">
        <f t="array" aca="1" ref="I15" ca="1">INDIRECT("RawData!"&amp;ADDRESS($C$5+$A15,I$6))</f>
        <v>7.6770000000000005E-2</v>
      </c>
      <c r="J15" s="1" cm="1">
        <f t="array" aca="1" ref="J15" ca="1">INDIRECT("RawData!"&amp;ADDRESS($C$5+$A15,J$6))</f>
        <v>32.33</v>
      </c>
      <c r="K15" s="1" cm="1">
        <f t="array" aca="1" ref="K15" ca="1">INDIRECT("RawData!"&amp;ADDRESS($C$5+$A15,K$6))</f>
        <v>8.9039999999999994E-2</v>
      </c>
      <c r="L15" s="1" cm="1">
        <f t="array" aca="1" ref="L15" ca="1">INDIRECT("RawData!"&amp;ADDRESS($C$5+$A15,L$6))</f>
        <v>1.4080000000000001E-2</v>
      </c>
      <c r="M15" s="1" cm="1">
        <f t="array" aca="1" ref="M15" ca="1">INDIRECT("RawData!"&amp;ADDRESS($C$5+$A15,M$6))</f>
        <v>26.966999999999999</v>
      </c>
      <c r="N15" s="1" cm="1">
        <f t="array" aca="1" ref="N15" ca="1">INDIRECT("RawData!"&amp;ADDRESS($C$5+$A15,N$6))</f>
        <v>0.11418</v>
      </c>
      <c r="O15" s="1" cm="1">
        <f t="array" aca="1" ref="O15" ca="1">INDIRECT("RawData!"&amp;ADDRESS($C$5+$A15,O$6))</f>
        <v>1.805E-2</v>
      </c>
      <c r="P15" s="1" cm="1">
        <f t="array" aca="1" ref="P15" ca="1">INDIRECT("RawData!"&amp;ADDRESS($C$5+$A15,P$6))</f>
        <v>12.334</v>
      </c>
      <c r="Q15" s="1" cm="1">
        <f t="array" aca="1" ref="Q15" ca="1">INDIRECT("RawData!"&amp;ADDRESS($C$5+$A15,Q$6))</f>
        <v>0.67744000000000004</v>
      </c>
      <c r="R15" s="1" cm="1">
        <f t="array" aca="1" ref="R15" ca="1">INDIRECT("RawData!"&amp;ADDRESS($C$5+$A15,R$6))</f>
        <v>0.10711</v>
      </c>
      <c r="S15" s="1" cm="1">
        <f t="array" aca="1" ref="S15" ca="1">INDIRECT("RawData!"&amp;ADDRESS($C$5+$A15,S$6))</f>
        <v>12.117000000000001</v>
      </c>
      <c r="T15" s="1" cm="1">
        <f t="array" aca="1" ref="T15" ca="1">INDIRECT("RawData!"&amp;ADDRESS($C$5+$A15,T$6))</f>
        <v>0.71587000000000001</v>
      </c>
      <c r="U15" s="1" cm="1">
        <f t="array" aca="1" ref="U15" ca="1">INDIRECT("RawData!"&amp;ADDRESS($C$5+$A15,U$6))</f>
        <v>0.11319</v>
      </c>
      <c r="V15" s="1" cm="1">
        <f t="array" aca="1" ref="V15" ca="1">INDIRECT("RawData!"&amp;ADDRESS($C$5+$A15,V$6))</f>
        <v>18.867000000000001</v>
      </c>
      <c r="W15" s="1" cm="1">
        <f t="array" aca="1" ref="W15" ca="1">INDIRECT("RawData!"&amp;ADDRESS($C$5+$A15,W$6))</f>
        <v>0.41564000000000001</v>
      </c>
      <c r="X15" s="1" cm="1">
        <f t="array" aca="1" ref="X15" ca="1">INDIRECT("RawData!"&amp;ADDRESS($C$5+$A15,X$6))</f>
        <v>6.5720000000000001E-2</v>
      </c>
      <c r="Y15" s="1" cm="1">
        <f t="array" aca="1" ref="Y15" ca="1">INDIRECT("RawData!"&amp;ADDRESS($C$5+$A15,Y$6))</f>
        <v>18.722000000000001</v>
      </c>
      <c r="Z15" s="1" cm="1">
        <f t="array" aca="1" ref="Z15" ca="1">INDIRECT("RawData!"&amp;ADDRESS($C$5+$A15,Z$6))</f>
        <v>4.7370000000000002E-2</v>
      </c>
      <c r="AA15" s="1" cm="1">
        <f t="array" aca="1" ref="AA15" ca="1">INDIRECT("RawData!"&amp;ADDRESS($C$5+$A15,AA$6))</f>
        <v>7.4900000000000001E-3</v>
      </c>
    </row>
    <row r="16" spans="1:29" x14ac:dyDescent="0.3">
      <c r="A16" s="1">
        <v>5</v>
      </c>
      <c r="C16" s="1" t="str" cm="1">
        <f t="array" aca="1" ref="C16" ca="1">INDIRECT("RawData!A"&amp;TEXT(C$5+A16,"0"))</f>
        <v>Test8/gpp_o3.x</v>
      </c>
      <c r="D16" s="1" cm="1">
        <f t="array" aca="1" ref="D16" ca="1">INDIRECT("RawData!"&amp;ADDRESS($C$5+$A16,D$6))</f>
        <v>7.1029999999999998</v>
      </c>
      <c r="E16" s="1" cm="1">
        <f t="array" aca="1" ref="E16" ca="1">INDIRECT("RawData!"&amp;ADDRESS($C$5+$A16,E$6))</f>
        <v>0.18396000000000001</v>
      </c>
      <c r="F16" s="1" cm="1">
        <f t="array" aca="1" ref="F16" ca="1">INDIRECT("RawData!"&amp;ADDRESS($C$5+$A16,F$6))</f>
        <v>2.9090000000000001E-2</v>
      </c>
      <c r="G16" s="1" cm="1">
        <f t="array" aca="1" ref="G16" ca="1">INDIRECT("RawData!"&amp;ADDRESS($C$5+$A16,G$6))</f>
        <v>7.0449999999999999</v>
      </c>
      <c r="H16" s="1" cm="1">
        <f t="array" aca="1" ref="H16" ca="1">INDIRECT("RawData!"&amp;ADDRESS($C$5+$A16,H$6))</f>
        <v>0.24215999999999999</v>
      </c>
      <c r="I16" s="1" cm="1">
        <f t="array" aca="1" ref="I16" ca="1">INDIRECT("RawData!"&amp;ADDRESS($C$5+$A16,I$6))</f>
        <v>3.8289999999999998E-2</v>
      </c>
      <c r="J16" s="1" cm="1">
        <f t="array" aca="1" ref="J16" ca="1">INDIRECT("RawData!"&amp;ADDRESS($C$5+$A16,J$6))</f>
        <v>18.872</v>
      </c>
      <c r="K16" s="1" cm="1">
        <f t="array" aca="1" ref="K16" ca="1">INDIRECT("RawData!"&amp;ADDRESS($C$5+$A16,K$6))</f>
        <v>7.0919999999999997E-2</v>
      </c>
      <c r="L16" s="1" cm="1">
        <f t="array" aca="1" ref="L16" ca="1">INDIRECT("RawData!"&amp;ADDRESS($C$5+$A16,L$6))</f>
        <v>1.1209999999999999E-2</v>
      </c>
      <c r="M16" s="1" cm="1">
        <f t="array" aca="1" ref="M16" ca="1">INDIRECT("RawData!"&amp;ADDRESS($C$5+$A16,M$6))</f>
        <v>8.08</v>
      </c>
      <c r="N16" s="1" cm="1">
        <f t="array" aca="1" ref="N16" ca="1">INDIRECT("RawData!"&amp;ADDRESS($C$5+$A16,N$6))</f>
        <v>1.907E-2</v>
      </c>
      <c r="O16" s="1" cm="1">
        <f t="array" aca="1" ref="O16" ca="1">INDIRECT("RawData!"&amp;ADDRESS($C$5+$A16,O$6))</f>
        <v>3.0200000000000001E-3</v>
      </c>
      <c r="P16" s="1" cm="1">
        <f t="array" aca="1" ref="P16" ca="1">INDIRECT("RawData!"&amp;ADDRESS($C$5+$A16,P$6))</f>
        <v>12.651999999999999</v>
      </c>
      <c r="Q16" s="1" cm="1">
        <f t="array" aca="1" ref="Q16" ca="1">INDIRECT("RawData!"&amp;ADDRESS($C$5+$A16,Q$6))</f>
        <v>1.10867</v>
      </c>
      <c r="R16" s="1" cm="1">
        <f t="array" aca="1" ref="R16" ca="1">INDIRECT("RawData!"&amp;ADDRESS($C$5+$A16,R$6))</f>
        <v>0.17530000000000001</v>
      </c>
      <c r="S16" s="1" cm="1">
        <f t="array" aca="1" ref="S16" ca="1">INDIRECT("RawData!"&amp;ADDRESS($C$5+$A16,S$6))</f>
        <v>12.116</v>
      </c>
      <c r="T16" s="1" cm="1">
        <f t="array" aca="1" ref="T16" ca="1">INDIRECT("RawData!"&amp;ADDRESS($C$5+$A16,T$6))</f>
        <v>0.87992000000000004</v>
      </c>
      <c r="U16" s="1" cm="1">
        <f t="array" aca="1" ref="U16" ca="1">INDIRECT("RawData!"&amp;ADDRESS($C$5+$A16,U$6))</f>
        <v>0.13913</v>
      </c>
      <c r="V16" s="1" cm="1">
        <f t="array" aca="1" ref="V16" ca="1">INDIRECT("RawData!"&amp;ADDRESS($C$5+$A16,V$6))</f>
        <v>12.476000000000001</v>
      </c>
      <c r="W16" s="1" cm="1">
        <f t="array" aca="1" ref="W16" ca="1">INDIRECT("RawData!"&amp;ADDRESS($C$5+$A16,W$6))</f>
        <v>9.1910000000000006E-2</v>
      </c>
      <c r="X16" s="1" cm="1">
        <f t="array" aca="1" ref="X16" ca="1">INDIRECT("RawData!"&amp;ADDRESS($C$5+$A16,X$6))</f>
        <v>1.453E-2</v>
      </c>
      <c r="Y16" s="1" cm="1">
        <f t="array" aca="1" ref="Y16" ca="1">INDIRECT("RawData!"&amp;ADDRESS($C$5+$A16,Y$6))</f>
        <v>9.5850000000000009</v>
      </c>
      <c r="Z16" s="1" cm="1">
        <f t="array" aca="1" ref="Z16" ca="1">INDIRECT("RawData!"&amp;ADDRESS($C$5+$A16,Z$6))</f>
        <v>0.12781999999999999</v>
      </c>
      <c r="AA16" s="1" cm="1">
        <f t="array" aca="1" ref="AA16" ca="1">INDIRECT("RawData!"&amp;ADDRESS($C$5+$A16,AA$6))</f>
        <v>2.0209999999999999E-2</v>
      </c>
    </row>
    <row r="17" spans="1:27" x14ac:dyDescent="0.3">
      <c r="A17" s="1">
        <v>6</v>
      </c>
      <c r="C17" s="1" t="str" cm="1">
        <f t="array" aca="1" ref="C17" ca="1">INDIRECT("RawData!A"&amp;TEXT(C$5+A17,"0"))</f>
        <v>Test8/icx.x</v>
      </c>
      <c r="D17" s="1" cm="1">
        <f t="array" aca="1" ref="D17" ca="1">INDIRECT("RawData!"&amp;ADDRESS($C$5+$A17,D$6))</f>
        <v>4.5919999999999996</v>
      </c>
      <c r="E17" s="1" cm="1">
        <f t="array" aca="1" ref="E17" ca="1">INDIRECT("RawData!"&amp;ADDRESS($C$5+$A17,E$6))</f>
        <v>0.39505000000000001</v>
      </c>
      <c r="F17" s="1" cm="1">
        <f t="array" aca="1" ref="F17" ca="1">INDIRECT("RawData!"&amp;ADDRESS($C$5+$A17,F$6))</f>
        <v>6.2460000000000002E-2</v>
      </c>
      <c r="G17" s="1" cm="1">
        <f t="array" aca="1" ref="G17" ca="1">INDIRECT("RawData!"&amp;ADDRESS($C$5+$A17,G$6))</f>
        <v>4.1669999999999998</v>
      </c>
      <c r="H17" s="1" cm="1">
        <f t="array" aca="1" ref="H17" ca="1">INDIRECT("RawData!"&amp;ADDRESS($C$5+$A17,H$6))</f>
        <v>0.33482000000000001</v>
      </c>
      <c r="I17" s="1" cm="1">
        <f t="array" aca="1" ref="I17" ca="1">INDIRECT("RawData!"&amp;ADDRESS($C$5+$A17,I$6))</f>
        <v>5.2940000000000001E-2</v>
      </c>
      <c r="J17" s="1" cm="1">
        <f t="array" aca="1" ref="J17" ca="1">INDIRECT("RawData!"&amp;ADDRESS($C$5+$A17,J$6))</f>
        <v>1.94</v>
      </c>
      <c r="K17" s="1" cm="1">
        <f t="array" aca="1" ref="K17" ca="1">INDIRECT("RawData!"&amp;ADDRESS($C$5+$A17,K$6))</f>
        <v>0.13586000000000001</v>
      </c>
      <c r="L17" s="1" cm="1">
        <f t="array" aca="1" ref="L17" ca="1">INDIRECT("RawData!"&amp;ADDRESS($C$5+$A17,L$6))</f>
        <v>2.1479999999999999E-2</v>
      </c>
      <c r="M17" s="1" cm="1">
        <f t="array" aca="1" ref="M17" ca="1">INDIRECT("RawData!"&amp;ADDRESS($C$5+$A17,M$6))</f>
        <v>1.915</v>
      </c>
      <c r="N17" s="1" cm="1">
        <f t="array" aca="1" ref="N17" ca="1">INDIRECT("RawData!"&amp;ADDRESS($C$5+$A17,N$6))</f>
        <v>0.15060999999999999</v>
      </c>
      <c r="O17" s="1" cm="1">
        <f t="array" aca="1" ref="O17" ca="1">INDIRECT("RawData!"&amp;ADDRESS($C$5+$A17,O$6))</f>
        <v>2.3810000000000001E-2</v>
      </c>
      <c r="P17" s="1" cm="1">
        <f t="array" aca="1" ref="P17" ca="1">INDIRECT("RawData!"&amp;ADDRESS($C$5+$A17,P$6))</f>
        <v>0</v>
      </c>
      <c r="Q17" s="1" cm="1">
        <f t="array" aca="1" ref="Q17" ca="1">INDIRECT("RawData!"&amp;ADDRESS($C$5+$A17,Q$6))</f>
        <v>0</v>
      </c>
      <c r="R17" s="1" cm="1">
        <f t="array" aca="1" ref="R17" ca="1">INDIRECT("RawData!"&amp;ADDRESS($C$5+$A17,R$6))</f>
        <v>0</v>
      </c>
      <c r="S17" s="1" cm="1">
        <f t="array" aca="1" ref="S17" ca="1">INDIRECT("RawData!"&amp;ADDRESS($C$5+$A17,S$6))</f>
        <v>0</v>
      </c>
      <c r="T17" s="1" cm="1">
        <f t="array" aca="1" ref="T17" ca="1">INDIRECT("RawData!"&amp;ADDRESS($C$5+$A17,T$6))</f>
        <v>0</v>
      </c>
      <c r="U17" s="1" cm="1">
        <f t="array" aca="1" ref="U17" ca="1">INDIRECT("RawData!"&amp;ADDRESS($C$5+$A17,U$6))</f>
        <v>0</v>
      </c>
      <c r="V17" s="1" cm="1">
        <f t="array" aca="1" ref="V17" ca="1">INDIRECT("RawData!"&amp;ADDRESS($C$5+$A17,V$6))</f>
        <v>5.3419999999999996</v>
      </c>
      <c r="W17" s="1" cm="1">
        <f t="array" aca="1" ref="W17" ca="1">INDIRECT("RawData!"&amp;ADDRESS($C$5+$A17,W$6))</f>
        <v>0.22686999999999999</v>
      </c>
      <c r="X17" s="1" cm="1">
        <f t="array" aca="1" ref="X17" ca="1">INDIRECT("RawData!"&amp;ADDRESS($C$5+$A17,X$6))</f>
        <v>3.5869999999999999E-2</v>
      </c>
      <c r="Y17" s="1" cm="1">
        <f t="array" aca="1" ref="Y17" ca="1">INDIRECT("RawData!"&amp;ADDRESS($C$5+$A17,Y$6))</f>
        <v>4.6630000000000003</v>
      </c>
      <c r="Z17" s="1" cm="1">
        <f t="array" aca="1" ref="Z17" ca="1">INDIRECT("RawData!"&amp;ADDRESS($C$5+$A17,Z$6))</f>
        <v>8.9700000000000002E-2</v>
      </c>
      <c r="AA17" s="1" cm="1">
        <f t="array" aca="1" ref="AA17" ca="1">INDIRECT("RawData!"&amp;ADDRESS($C$5+$A17,AA$6))</f>
        <v>1.418E-2</v>
      </c>
    </row>
    <row r="18" spans="1:27" x14ac:dyDescent="0.3">
      <c r="A18" s="1">
        <v>7</v>
      </c>
      <c r="C18" s="1" t="str" cm="1">
        <f t="array" aca="1" ref="C18" ca="1">INDIRECT("RawData!A"&amp;TEXT(C$5+A18,"0"))</f>
        <v>Test8/icx_o3.x</v>
      </c>
      <c r="D18" s="1" cm="1">
        <f t="array" aca="1" ref="D18" ca="1">INDIRECT("RawData!"&amp;ADDRESS($C$5+$A18,D$6))</f>
        <v>4.5540000000000003</v>
      </c>
      <c r="E18" s="1" cm="1">
        <f t="array" aca="1" ref="E18" ca="1">INDIRECT("RawData!"&amp;ADDRESS($C$5+$A18,E$6))</f>
        <v>0.41692000000000001</v>
      </c>
      <c r="F18" s="1" cm="1">
        <f t="array" aca="1" ref="F18" ca="1">INDIRECT("RawData!"&amp;ADDRESS($C$5+$A18,F$6))</f>
        <v>6.5920000000000006E-2</v>
      </c>
      <c r="G18" s="1" cm="1">
        <f t="array" aca="1" ref="G18" ca="1">INDIRECT("RawData!"&amp;ADDRESS($C$5+$A18,G$6))</f>
        <v>4.1340000000000003</v>
      </c>
      <c r="H18" s="1" cm="1">
        <f t="array" aca="1" ref="H18" ca="1">INDIRECT("RawData!"&amp;ADDRESS($C$5+$A18,H$6))</f>
        <v>0.26591999999999999</v>
      </c>
      <c r="I18" s="1" cm="1">
        <f t="array" aca="1" ref="I18" ca="1">INDIRECT("RawData!"&amp;ADDRESS($C$5+$A18,I$6))</f>
        <v>4.2049999999999997E-2</v>
      </c>
      <c r="J18" s="1" cm="1">
        <f t="array" aca="1" ref="J18" ca="1">INDIRECT("RawData!"&amp;ADDRESS($C$5+$A18,J$6))</f>
        <v>1.8759999999999999</v>
      </c>
      <c r="K18" s="1" cm="1">
        <f t="array" aca="1" ref="K18" ca="1">INDIRECT("RawData!"&amp;ADDRESS($C$5+$A18,K$6))</f>
        <v>0.1275</v>
      </c>
      <c r="L18" s="1" cm="1">
        <f t="array" aca="1" ref="L18" ca="1">INDIRECT("RawData!"&amp;ADDRESS($C$5+$A18,L$6))</f>
        <v>2.0160000000000001E-2</v>
      </c>
      <c r="M18" s="1" cm="1">
        <f t="array" aca="1" ref="M18" ca="1">INDIRECT("RawData!"&amp;ADDRESS($C$5+$A18,M$6))</f>
        <v>1.849</v>
      </c>
      <c r="N18" s="1" cm="1">
        <f t="array" aca="1" ref="N18" ca="1">INDIRECT("RawData!"&amp;ADDRESS($C$5+$A18,N$6))</f>
        <v>0.16511000000000001</v>
      </c>
      <c r="O18" s="1" cm="1">
        <f t="array" aca="1" ref="O18" ca="1">INDIRECT("RawData!"&amp;ADDRESS($C$5+$A18,O$6))</f>
        <v>2.6110000000000001E-2</v>
      </c>
      <c r="P18" s="1" cm="1">
        <f t="array" aca="1" ref="P18" ca="1">INDIRECT("RawData!"&amp;ADDRESS($C$5+$A18,P$6))</f>
        <v>0</v>
      </c>
      <c r="Q18" s="1" cm="1">
        <f t="array" aca="1" ref="Q18" ca="1">INDIRECT("RawData!"&amp;ADDRESS($C$5+$A18,Q$6))</f>
        <v>0</v>
      </c>
      <c r="R18" s="1" cm="1">
        <f t="array" aca="1" ref="R18" ca="1">INDIRECT("RawData!"&amp;ADDRESS($C$5+$A18,R$6))</f>
        <v>0</v>
      </c>
      <c r="S18" s="1" cm="1">
        <f t="array" aca="1" ref="S18" ca="1">INDIRECT("RawData!"&amp;ADDRESS($C$5+$A18,S$6))</f>
        <v>0</v>
      </c>
      <c r="T18" s="1" cm="1">
        <f t="array" aca="1" ref="T18" ca="1">INDIRECT("RawData!"&amp;ADDRESS($C$5+$A18,T$6))</f>
        <v>0</v>
      </c>
      <c r="U18" s="1" cm="1">
        <f t="array" aca="1" ref="U18" ca="1">INDIRECT("RawData!"&amp;ADDRESS($C$5+$A18,U$6))</f>
        <v>0</v>
      </c>
      <c r="V18" s="1" cm="1">
        <f t="array" aca="1" ref="V18" ca="1">INDIRECT("RawData!"&amp;ADDRESS($C$5+$A18,V$6))</f>
        <v>5.3620000000000001</v>
      </c>
      <c r="W18" s="1" cm="1">
        <f t="array" aca="1" ref="W18" ca="1">INDIRECT("RawData!"&amp;ADDRESS($C$5+$A18,W$6))</f>
        <v>0.21124999999999999</v>
      </c>
      <c r="X18" s="1" cm="1">
        <f t="array" aca="1" ref="X18" ca="1">INDIRECT("RawData!"&amp;ADDRESS($C$5+$A18,X$6))</f>
        <v>3.3399999999999999E-2</v>
      </c>
      <c r="Y18" s="1" cm="1">
        <f t="array" aca="1" ref="Y18" ca="1">INDIRECT("RawData!"&amp;ADDRESS($C$5+$A18,Y$6))</f>
        <v>4.6449999999999996</v>
      </c>
      <c r="Z18" s="1" cm="1">
        <f t="array" aca="1" ref="Z18" ca="1">INDIRECT("RawData!"&amp;ADDRESS($C$5+$A18,Z$6))</f>
        <v>5.9659999999999998E-2</v>
      </c>
      <c r="AA18" s="1" cm="1">
        <f t="array" aca="1" ref="AA18" ca="1">INDIRECT("RawData!"&amp;ADDRESS($C$5+$A18,AA$6))</f>
        <v>9.4299999999999991E-3</v>
      </c>
    </row>
    <row r="19" spans="1:27" x14ac:dyDescent="0.3">
      <c r="A19" s="1">
        <v>8</v>
      </c>
    </row>
    <row r="20" spans="1:27" x14ac:dyDescent="0.3">
      <c r="A20" s="1">
        <v>9</v>
      </c>
    </row>
    <row r="21" spans="1:27" x14ac:dyDescent="0.3">
      <c r="A21" s="1">
        <v>10</v>
      </c>
    </row>
    <row r="22" spans="1:27" x14ac:dyDescent="0.3">
      <c r="A22" s="1">
        <v>11</v>
      </c>
    </row>
    <row r="23" spans="1:27" x14ac:dyDescent="0.3">
      <c r="A23" s="1">
        <v>12</v>
      </c>
    </row>
    <row r="24" spans="1:27" x14ac:dyDescent="0.3">
      <c r="A24" s="1">
        <v>13</v>
      </c>
    </row>
    <row r="25" spans="1:27" x14ac:dyDescent="0.3">
      <c r="A25" s="1">
        <v>14</v>
      </c>
    </row>
    <row r="26" spans="1:27" x14ac:dyDescent="0.3">
      <c r="A26" s="1">
        <v>15</v>
      </c>
    </row>
    <row r="27" spans="1:27" x14ac:dyDescent="0.3">
      <c r="A27" s="1">
        <v>16</v>
      </c>
    </row>
    <row r="28" spans="1:27" x14ac:dyDescent="0.3">
      <c r="A28" s="1">
        <v>17</v>
      </c>
    </row>
    <row r="29" spans="1:27" x14ac:dyDescent="0.3">
      <c r="A29" s="1">
        <v>18</v>
      </c>
    </row>
    <row r="30" spans="1:27" x14ac:dyDescent="0.3">
      <c r="A30" s="1">
        <v>19</v>
      </c>
    </row>
    <row r="31" spans="1:27" x14ac:dyDescent="0.3">
      <c r="A31" s="1">
        <v>20</v>
      </c>
    </row>
    <row r="32" spans="1:27" x14ac:dyDescent="0.3">
      <c r="A32" s="1">
        <v>21</v>
      </c>
    </row>
    <row r="33" spans="1:27" x14ac:dyDescent="0.3">
      <c r="A33" s="1">
        <v>22</v>
      </c>
    </row>
    <row r="34" spans="1:27" x14ac:dyDescent="0.3">
      <c r="A34" s="1">
        <v>23</v>
      </c>
    </row>
    <row r="35" spans="1:27" x14ac:dyDescent="0.3">
      <c r="A35" s="1">
        <v>24</v>
      </c>
    </row>
    <row r="36" spans="1:27" x14ac:dyDescent="0.3">
      <c r="A36" s="1">
        <v>1</v>
      </c>
      <c r="B36" s="1">
        <v>2</v>
      </c>
      <c r="C36" s="1">
        <v>3</v>
      </c>
      <c r="D36" s="1">
        <v>4</v>
      </c>
      <c r="E36" s="1">
        <v>5</v>
      </c>
      <c r="F36" s="1">
        <v>6</v>
      </c>
      <c r="G36" s="1">
        <v>7</v>
      </c>
      <c r="H36" s="1">
        <v>8</v>
      </c>
      <c r="I36" s="1">
        <v>9</v>
      </c>
      <c r="J36" s="1">
        <v>10</v>
      </c>
      <c r="K36" s="1">
        <v>11</v>
      </c>
      <c r="L36" s="1">
        <v>12</v>
      </c>
      <c r="M36" s="1">
        <v>13</v>
      </c>
      <c r="N36" s="1">
        <v>14</v>
      </c>
      <c r="O36" s="1">
        <v>15</v>
      </c>
      <c r="P36" s="1">
        <v>16</v>
      </c>
      <c r="Q36" s="1">
        <v>17</v>
      </c>
      <c r="R36" s="1">
        <v>18</v>
      </c>
      <c r="S36" s="1">
        <v>19</v>
      </c>
      <c r="T36" s="1">
        <v>20</v>
      </c>
      <c r="U36" s="1">
        <v>21</v>
      </c>
      <c r="V36" s="1">
        <v>22</v>
      </c>
      <c r="W36" s="1">
        <v>23</v>
      </c>
      <c r="X36" s="1">
        <v>24</v>
      </c>
      <c r="Y36" s="1">
        <v>25</v>
      </c>
      <c r="Z36" s="1">
        <v>26</v>
      </c>
      <c r="AA36" s="1">
        <v>27</v>
      </c>
    </row>
    <row r="37" spans="1:27" ht="100" x14ac:dyDescent="0.3">
      <c r="C37" s="4" t="s">
        <v>140</v>
      </c>
      <c r="D37" s="3" t="s">
        <v>137</v>
      </c>
      <c r="G37" s="3" t="s">
        <v>143</v>
      </c>
      <c r="J37" s="3" t="s">
        <v>138</v>
      </c>
      <c r="M37" s="3" t="s">
        <v>144</v>
      </c>
      <c r="P37" s="3" t="s">
        <v>139</v>
      </c>
      <c r="S37" s="3" t="s">
        <v>145</v>
      </c>
      <c r="V37" s="3" t="s">
        <v>147</v>
      </c>
      <c r="Y37" s="3" t="s">
        <v>146</v>
      </c>
    </row>
    <row r="38" spans="1:27" x14ac:dyDescent="0.3">
      <c r="A38" s="1">
        <v>0</v>
      </c>
      <c r="C38" s="1" t="str">
        <f ca="1">MID(C11,FIND("/",C11)+1,1000)</f>
        <v>gfortran.x</v>
      </c>
      <c r="D38" s="1">
        <f ca="1">D11</f>
        <v>7.0679999999999996</v>
      </c>
      <c r="E38" s="1">
        <f ca="1">IF(D11=0,0,E11*100/D11)</f>
        <v>2.8638936049801922</v>
      </c>
      <c r="F38" s="1">
        <f ca="1">IF(D11=0,0,F11*100/D11)</f>
        <v>0.45288624787775889</v>
      </c>
      <c r="G38" s="1">
        <f t="shared" ref="G38:AA45" ca="1" si="0">G11</f>
        <v>7.0380000000000003</v>
      </c>
      <c r="H38" s="1">
        <f t="shared" ref="H38:AA45" ca="1" si="1">IF(G11=0,0,H11*100/G11)</f>
        <v>2.4080704745666384</v>
      </c>
      <c r="I38" s="1">
        <f t="shared" ref="I38:I45" ca="1" si="2">IF(G11=0,0,I11*100/G11)</f>
        <v>0.3807899971582836</v>
      </c>
      <c r="J38" s="1">
        <f t="shared" ref="J38:AA38" ca="1" si="3">J11</f>
        <v>5.42</v>
      </c>
      <c r="K38" s="1">
        <f t="shared" ref="K38:AA38" ca="1" si="4">IF(J11=0,0,K11*100/J11)</f>
        <v>0.35166051660516606</v>
      </c>
      <c r="L38" s="1">
        <f t="shared" ref="L38:L45" ca="1" si="5">IF(J11=0,0,L11*100/J11)</f>
        <v>5.5535055350553503E-2</v>
      </c>
      <c r="M38" s="1">
        <f t="shared" ref="M38:AA38" ca="1" si="6">M11</f>
        <v>5.399</v>
      </c>
      <c r="N38" s="1">
        <f t="shared" ref="N38:AA38" ca="1" si="7">IF(M11=0,0,N11*100/M11)</f>
        <v>0.31079829598073716</v>
      </c>
      <c r="O38" s="1">
        <f t="shared" ref="O38:O45" ca="1" si="8">IF(M11=0,0,O11*100/M11)</f>
        <v>4.9083163548805334E-2</v>
      </c>
      <c r="P38" s="1">
        <f t="shared" ref="P38:AA38" ca="1" si="9">P11</f>
        <v>11.939</v>
      </c>
      <c r="Q38" s="1">
        <f t="shared" ref="Q38:AA38" ca="1" si="10">IF(P11=0,0,Q11*100/P11)</f>
        <v>5.2312588994053106</v>
      </c>
      <c r="R38" s="1">
        <f t="shared" ref="R38:R45" ca="1" si="11">IF(P11=0,0,R11*100/P11)</f>
        <v>0.82712119943043805</v>
      </c>
      <c r="S38" s="1">
        <f t="shared" ref="S38:AA38" ca="1" si="12">S11</f>
        <v>11.974</v>
      </c>
      <c r="T38" s="1">
        <f t="shared" ref="T38:AA38" ca="1" si="13">IF(S11=0,0,T11*100/S11)</f>
        <v>4.2042759311842319</v>
      </c>
      <c r="U38" s="1">
        <f t="shared" ref="U38:U45" ca="1" si="14">IF(S11=0,0,U11*100/S11)</f>
        <v>0.66477367629864714</v>
      </c>
      <c r="V38" s="1">
        <f t="shared" ref="V38:AA38" ca="1" si="15">V11</f>
        <v>6.5730000000000004</v>
      </c>
      <c r="W38" s="1">
        <f t="shared" ref="W38:AA38" ca="1" si="16">IF(V11=0,0,W11*100/V11)</f>
        <v>0.85820781986916173</v>
      </c>
      <c r="X38" s="1">
        <f t="shared" ref="X38:X45" ca="1" si="17">IF(V11=0,0,X11*100/V11)</f>
        <v>0.13570667883766926</v>
      </c>
      <c r="Y38" s="1">
        <f t="shared" ref="Y38:AA38" ca="1" si="18">Y11</f>
        <v>6.5869999999999997</v>
      </c>
      <c r="Z38" s="1">
        <f t="shared" ref="Z38:AA38" ca="1" si="19">IF(Y11=0,0,Z11*100/Y11)</f>
        <v>0.8398360406862001</v>
      </c>
      <c r="AA38" s="1">
        <f t="shared" ref="AA38:AA45" ca="1" si="20">IF(Y11=0,0,AA11*100/Y11)</f>
        <v>0.13283740701381511</v>
      </c>
    </row>
    <row r="39" spans="1:27" x14ac:dyDescent="0.3">
      <c r="A39" s="1">
        <v>1</v>
      </c>
      <c r="C39" s="1" t="str">
        <f t="shared" ref="C39:C45" ca="1" si="21">MID(C12,FIND("/",C12)+1,1000)</f>
        <v>gfortran_o3.x</v>
      </c>
      <c r="D39" s="1">
        <f t="shared" ref="D39:D45" ca="1" si="22">D12</f>
        <v>7.0940000000000003</v>
      </c>
      <c r="E39" s="1">
        <f t="shared" ref="E39:E45" ca="1" si="23">IF(D12=0,0,E12*100/D12)</f>
        <v>2.8424020298844095</v>
      </c>
      <c r="F39" s="1">
        <f t="shared" ref="F39:F45" ca="1" si="24">IF(D12=0,0,F12*100/D12)</f>
        <v>0.44939385396109383</v>
      </c>
      <c r="G39" s="1">
        <f t="shared" ca="1" si="0"/>
        <v>7.0359999999999996</v>
      </c>
      <c r="H39" s="1">
        <f t="shared" ca="1" si="1"/>
        <v>4.0697839681637298</v>
      </c>
      <c r="I39" s="1">
        <f t="shared" ca="1" si="2"/>
        <v>0.64354747015349645</v>
      </c>
      <c r="J39" s="1">
        <f t="shared" ca="1" si="0"/>
        <v>5.4189999999999996</v>
      </c>
      <c r="K39" s="1">
        <f t="shared" ca="1" si="1"/>
        <v>0.47813249677062186</v>
      </c>
      <c r="L39" s="1">
        <f t="shared" ca="1" si="5"/>
        <v>7.565971581472597E-2</v>
      </c>
      <c r="M39" s="1">
        <f t="shared" ca="1" si="0"/>
        <v>5.4180000000000001</v>
      </c>
      <c r="N39" s="1">
        <f t="shared" ca="1" si="1"/>
        <v>0.60317460317460325</v>
      </c>
      <c r="O39" s="1">
        <f t="shared" ca="1" si="8"/>
        <v>9.5422665190107045E-2</v>
      </c>
      <c r="P39" s="1">
        <f t="shared" ca="1" si="0"/>
        <v>12.004</v>
      </c>
      <c r="Q39" s="1">
        <f t="shared" ca="1" si="1"/>
        <v>3.8967844051982676</v>
      </c>
      <c r="R39" s="1">
        <f t="shared" ca="1" si="11"/>
        <v>0.61612795734755088</v>
      </c>
      <c r="S39" s="1">
        <f t="shared" ca="1" si="0"/>
        <v>12.082000000000001</v>
      </c>
      <c r="T39" s="1">
        <f t="shared" ca="1" si="1"/>
        <v>4.5905479225293817</v>
      </c>
      <c r="U39" s="1">
        <f t="shared" ca="1" si="14"/>
        <v>0.72587319980135734</v>
      </c>
      <c r="V39" s="1">
        <f t="shared" ca="1" si="0"/>
        <v>6.5259999999999998</v>
      </c>
      <c r="W39" s="1">
        <f t="shared" ca="1" si="1"/>
        <v>0.8069261415874962</v>
      </c>
      <c r="X39" s="1">
        <f t="shared" ca="1" si="17"/>
        <v>0.12764327306159978</v>
      </c>
      <c r="Y39" s="1">
        <f t="shared" ca="1" si="0"/>
        <v>6.5419999999999998</v>
      </c>
      <c r="Z39" s="1">
        <f t="shared" ca="1" si="1"/>
        <v>0.71079180678691534</v>
      </c>
      <c r="AA39" s="1">
        <f t="shared" ca="1" si="20"/>
        <v>0.11235096300825435</v>
      </c>
    </row>
    <row r="40" spans="1:27" x14ac:dyDescent="0.3">
      <c r="A40" s="1">
        <v>2</v>
      </c>
      <c r="C40" s="1" t="str">
        <f t="shared" ca="1" si="21"/>
        <v>ifx.x</v>
      </c>
      <c r="D40" s="1">
        <f t="shared" ca="1" si="22"/>
        <v>6.5250000000000004</v>
      </c>
      <c r="E40" s="1">
        <f t="shared" ca="1" si="23"/>
        <v>24.537624521072797</v>
      </c>
      <c r="F40" s="1">
        <f t="shared" ca="1" si="24"/>
        <v>3.8796934865900377</v>
      </c>
      <c r="G40" s="1">
        <f t="shared" ca="1" si="0"/>
        <v>3.9750000000000001</v>
      </c>
      <c r="H40" s="1">
        <f t="shared" ca="1" si="1"/>
        <v>23.132578616352202</v>
      </c>
      <c r="I40" s="1">
        <f t="shared" ca="1" si="2"/>
        <v>3.6576100628930814</v>
      </c>
      <c r="J40" s="1">
        <f t="shared" ca="1" si="0"/>
        <v>5.4009999999999998</v>
      </c>
      <c r="K40" s="1">
        <f t="shared" ca="1" si="1"/>
        <v>0.3373449361229402</v>
      </c>
      <c r="L40" s="1">
        <f t="shared" ca="1" si="5"/>
        <v>5.3323458618774307E-2</v>
      </c>
      <c r="M40" s="1">
        <f t="shared" ca="1" si="0"/>
        <v>1.972</v>
      </c>
      <c r="N40" s="1">
        <f t="shared" ca="1" si="1"/>
        <v>5.9792089249492903</v>
      </c>
      <c r="O40" s="1">
        <f t="shared" ca="1" si="8"/>
        <v>0.94523326572008115</v>
      </c>
      <c r="P40" s="1">
        <f t="shared" ca="1" si="0"/>
        <v>0</v>
      </c>
      <c r="Q40" s="1">
        <f t="shared" ca="1" si="1"/>
        <v>0</v>
      </c>
      <c r="R40" s="1">
        <f t="shared" ca="1" si="11"/>
        <v>0</v>
      </c>
      <c r="S40" s="1">
        <f t="shared" ca="1" si="0"/>
        <v>0</v>
      </c>
      <c r="T40" s="1">
        <f t="shared" ca="1" si="1"/>
        <v>0</v>
      </c>
      <c r="U40" s="1">
        <f t="shared" ca="1" si="14"/>
        <v>0</v>
      </c>
      <c r="V40" s="1">
        <f t="shared" ca="1" si="0"/>
        <v>6.532</v>
      </c>
      <c r="W40" s="1">
        <f t="shared" ca="1" si="1"/>
        <v>0.84905082669932641</v>
      </c>
      <c r="X40" s="1">
        <f t="shared" ca="1" si="17"/>
        <v>0.13426209430496019</v>
      </c>
      <c r="Y40" s="1">
        <f t="shared" ca="1" si="0"/>
        <v>4.5960000000000001</v>
      </c>
      <c r="Z40" s="1">
        <f t="shared" ca="1" si="1"/>
        <v>1.3009138381201044</v>
      </c>
      <c r="AA40" s="1">
        <f t="shared" ca="1" si="20"/>
        <v>0.20561357702349869</v>
      </c>
    </row>
    <row r="41" spans="1:27" x14ac:dyDescent="0.3">
      <c r="A41" s="1">
        <v>3</v>
      </c>
      <c r="C41" s="1" t="str">
        <f t="shared" ca="1" si="21"/>
        <v>ifx_o3.x</v>
      </c>
      <c r="D41" s="1">
        <f t="shared" ca="1" si="22"/>
        <v>6.875</v>
      </c>
      <c r="E41" s="1">
        <f t="shared" ca="1" si="23"/>
        <v>14.79970909090909</v>
      </c>
      <c r="F41" s="1">
        <f t="shared" ca="1" si="24"/>
        <v>2.3400727272727275</v>
      </c>
      <c r="G41" s="1">
        <f t="shared" ca="1" si="0"/>
        <v>3.95</v>
      </c>
      <c r="H41" s="1">
        <f t="shared" ca="1" si="1"/>
        <v>44.017721518987344</v>
      </c>
      <c r="I41" s="1">
        <f t="shared" ca="1" si="2"/>
        <v>6.9597468354430374</v>
      </c>
      <c r="J41" s="1">
        <f t="shared" ca="1" si="0"/>
        <v>5.423</v>
      </c>
      <c r="K41" s="1">
        <f t="shared" ca="1" si="1"/>
        <v>0.51170938594873683</v>
      </c>
      <c r="L41" s="1">
        <f t="shared" ca="1" si="5"/>
        <v>8.0951502858196564E-2</v>
      </c>
      <c r="M41" s="1">
        <f t="shared" ca="1" si="0"/>
        <v>1.9379999999999999</v>
      </c>
      <c r="N41" s="1">
        <f t="shared" ca="1" si="1"/>
        <v>5.893704850361198</v>
      </c>
      <c r="O41" s="1">
        <f t="shared" ca="1" si="8"/>
        <v>0.93188854489164097</v>
      </c>
      <c r="P41" s="1">
        <f t="shared" ca="1" si="0"/>
        <v>0</v>
      </c>
      <c r="Q41" s="1">
        <f t="shared" ca="1" si="1"/>
        <v>0</v>
      </c>
      <c r="R41" s="1">
        <f t="shared" ca="1" si="11"/>
        <v>0</v>
      </c>
      <c r="S41" s="1">
        <f t="shared" ca="1" si="0"/>
        <v>0</v>
      </c>
      <c r="T41" s="1">
        <f t="shared" ca="1" si="1"/>
        <v>0</v>
      </c>
      <c r="U41" s="1">
        <f t="shared" ca="1" si="14"/>
        <v>0</v>
      </c>
      <c r="V41" s="1">
        <f t="shared" ca="1" si="0"/>
        <v>6.5460000000000003</v>
      </c>
      <c r="W41" s="1">
        <f t="shared" ca="1" si="1"/>
        <v>0.70271921784295743</v>
      </c>
      <c r="X41" s="1">
        <f t="shared" ca="1" si="17"/>
        <v>0.11106018942865874</v>
      </c>
      <c r="Y41" s="1">
        <f t="shared" ca="1" si="0"/>
        <v>4.6029999999999998</v>
      </c>
      <c r="Z41" s="1">
        <f t="shared" ca="1" si="1"/>
        <v>1.0658266348033891</v>
      </c>
      <c r="AA41" s="1">
        <f t="shared" ca="1" si="20"/>
        <v>0.16858570497501632</v>
      </c>
    </row>
    <row r="42" spans="1:27" x14ac:dyDescent="0.3">
      <c r="A42" s="1">
        <v>4</v>
      </c>
      <c r="C42" s="1" t="str">
        <f t="shared" ca="1" si="21"/>
        <v>gpp.x</v>
      </c>
      <c r="D42" s="1">
        <f t="shared" ca="1" si="22"/>
        <v>7.0819999999999999</v>
      </c>
      <c r="E42" s="1">
        <f t="shared" ca="1" si="23"/>
        <v>2.936458627506354</v>
      </c>
      <c r="F42" s="1">
        <f t="shared" ca="1" si="24"/>
        <v>0.46427562835357244</v>
      </c>
      <c r="G42" s="1">
        <f t="shared" ca="1" si="0"/>
        <v>7.5209999999999999</v>
      </c>
      <c r="H42" s="1">
        <f t="shared" ca="1" si="1"/>
        <v>6.4560563754819835</v>
      </c>
      <c r="I42" s="1">
        <f t="shared" ca="1" si="2"/>
        <v>1.0207419226166734</v>
      </c>
      <c r="J42" s="1">
        <f t="shared" ca="1" si="0"/>
        <v>32.33</v>
      </c>
      <c r="K42" s="1">
        <f t="shared" ca="1" si="1"/>
        <v>0.27540983606557379</v>
      </c>
      <c r="L42" s="1">
        <f t="shared" ca="1" si="5"/>
        <v>4.3550881534178791E-2</v>
      </c>
      <c r="M42" s="1">
        <f t="shared" ca="1" si="0"/>
        <v>26.966999999999999</v>
      </c>
      <c r="N42" s="1">
        <f t="shared" ca="1" si="1"/>
        <v>0.42340638558237853</v>
      </c>
      <c r="O42" s="1">
        <f t="shared" ca="1" si="8"/>
        <v>6.6933659658100636E-2</v>
      </c>
      <c r="P42" s="1">
        <f t="shared" ca="1" si="0"/>
        <v>12.334</v>
      </c>
      <c r="Q42" s="1">
        <f t="shared" ca="1" si="1"/>
        <v>5.4924598670342144</v>
      </c>
      <c r="R42" s="1">
        <f t="shared" ca="1" si="11"/>
        <v>0.86841251824225718</v>
      </c>
      <c r="S42" s="1">
        <f t="shared" ca="1" si="0"/>
        <v>12.117000000000001</v>
      </c>
      <c r="T42" s="1">
        <f t="shared" ca="1" si="1"/>
        <v>5.9079805232318225</v>
      </c>
      <c r="U42" s="1">
        <f t="shared" ca="1" si="14"/>
        <v>0.93414211438474859</v>
      </c>
      <c r="V42" s="1">
        <f t="shared" ca="1" si="0"/>
        <v>18.867000000000001</v>
      </c>
      <c r="W42" s="1">
        <f t="shared" ca="1" si="1"/>
        <v>2.2029999469974029</v>
      </c>
      <c r="X42" s="1">
        <f t="shared" ca="1" si="17"/>
        <v>0.34833306832034766</v>
      </c>
      <c r="Y42" s="1">
        <f t="shared" ca="1" si="0"/>
        <v>18.722000000000001</v>
      </c>
      <c r="Z42" s="1">
        <f t="shared" ca="1" si="1"/>
        <v>0.25301783997436172</v>
      </c>
      <c r="AA42" s="1">
        <f t="shared" ca="1" si="20"/>
        <v>4.0006409571626961E-2</v>
      </c>
    </row>
    <row r="43" spans="1:27" x14ac:dyDescent="0.3">
      <c r="A43" s="1">
        <v>5</v>
      </c>
      <c r="C43" s="1" t="str">
        <f t="shared" ca="1" si="21"/>
        <v>gpp_o3.x</v>
      </c>
      <c r="D43" s="1">
        <f t="shared" ca="1" si="22"/>
        <v>7.1029999999999998</v>
      </c>
      <c r="E43" s="1">
        <f t="shared" ca="1" si="23"/>
        <v>2.5898915951006618</v>
      </c>
      <c r="F43" s="1">
        <f t="shared" ca="1" si="24"/>
        <v>0.40954526256511337</v>
      </c>
      <c r="G43" s="1">
        <f t="shared" ca="1" si="0"/>
        <v>7.0449999999999999</v>
      </c>
      <c r="H43" s="1">
        <f t="shared" ca="1" si="1"/>
        <v>3.4373314407381117</v>
      </c>
      <c r="I43" s="1">
        <f t="shared" ca="1" si="2"/>
        <v>0.54350603264726749</v>
      </c>
      <c r="J43" s="1">
        <f t="shared" ca="1" si="0"/>
        <v>18.872</v>
      </c>
      <c r="K43" s="1">
        <f t="shared" ca="1" si="1"/>
        <v>0.3757948283170835</v>
      </c>
      <c r="L43" s="1">
        <f t="shared" ca="1" si="5"/>
        <v>5.9400169563374308E-2</v>
      </c>
      <c r="M43" s="1">
        <f t="shared" ca="1" si="0"/>
        <v>8.08</v>
      </c>
      <c r="N43" s="1">
        <f t="shared" ca="1" si="1"/>
        <v>0.2360148514851485</v>
      </c>
      <c r="O43" s="1">
        <f t="shared" ca="1" si="8"/>
        <v>3.7376237623762375E-2</v>
      </c>
      <c r="P43" s="1">
        <f t="shared" ca="1" si="0"/>
        <v>12.651999999999999</v>
      </c>
      <c r="Q43" s="1">
        <f t="shared" ca="1" si="1"/>
        <v>8.7628042997154605</v>
      </c>
      <c r="R43" s="1">
        <f t="shared" ca="1" si="11"/>
        <v>1.3855516914321848</v>
      </c>
      <c r="S43" s="1">
        <f t="shared" ca="1" si="0"/>
        <v>12.116</v>
      </c>
      <c r="T43" s="1">
        <f t="shared" ca="1" si="1"/>
        <v>7.2624628590293829</v>
      </c>
      <c r="U43" s="1">
        <f t="shared" ca="1" si="14"/>
        <v>1.1483162759986796</v>
      </c>
      <c r="V43" s="1">
        <f t="shared" ca="1" si="0"/>
        <v>12.476000000000001</v>
      </c>
      <c r="W43" s="1">
        <f t="shared" ca="1" si="1"/>
        <v>0.73669445335043282</v>
      </c>
      <c r="X43" s="1">
        <f t="shared" ca="1" si="17"/>
        <v>0.11646361013145237</v>
      </c>
      <c r="Y43" s="1">
        <f t="shared" ca="1" si="0"/>
        <v>9.5850000000000009</v>
      </c>
      <c r="Z43" s="1">
        <f t="shared" ca="1" si="1"/>
        <v>1.3335419926969219</v>
      </c>
      <c r="AA43" s="1">
        <f t="shared" ca="1" si="20"/>
        <v>0.21085028690662491</v>
      </c>
    </row>
    <row r="44" spans="1:27" x14ac:dyDescent="0.3">
      <c r="A44" s="1">
        <v>6</v>
      </c>
      <c r="C44" s="1" t="str">
        <f t="shared" ca="1" si="21"/>
        <v>icx.x</v>
      </c>
      <c r="D44" s="1">
        <f t="shared" ca="1" si="22"/>
        <v>4.5919999999999996</v>
      </c>
      <c r="E44" s="1">
        <f t="shared" ca="1" si="23"/>
        <v>8.6030052264808372</v>
      </c>
      <c r="F44" s="1">
        <f t="shared" ca="1" si="24"/>
        <v>1.3601916376306622</v>
      </c>
      <c r="G44" s="1">
        <f t="shared" ca="1" si="0"/>
        <v>4.1669999999999998</v>
      </c>
      <c r="H44" s="1">
        <f t="shared" ca="1" si="1"/>
        <v>8.0350371970242378</v>
      </c>
      <c r="I44" s="1">
        <f t="shared" ca="1" si="2"/>
        <v>1.2704583633309336</v>
      </c>
      <c r="J44" s="1">
        <f t="shared" ca="1" si="0"/>
        <v>1.94</v>
      </c>
      <c r="K44" s="1">
        <f t="shared" ca="1" si="1"/>
        <v>7.0030927835051546</v>
      </c>
      <c r="L44" s="1">
        <f t="shared" ca="1" si="5"/>
        <v>1.1072164948453607</v>
      </c>
      <c r="M44" s="1">
        <f t="shared" ca="1" si="0"/>
        <v>1.915</v>
      </c>
      <c r="N44" s="1">
        <f t="shared" ca="1" si="1"/>
        <v>7.8647519582245433</v>
      </c>
      <c r="O44" s="1">
        <f t="shared" ca="1" si="8"/>
        <v>1.2433420365535248</v>
      </c>
      <c r="P44" s="1">
        <f t="shared" ca="1" si="0"/>
        <v>0</v>
      </c>
      <c r="Q44" s="1">
        <f t="shared" ca="1" si="1"/>
        <v>0</v>
      </c>
      <c r="R44" s="1">
        <f t="shared" ca="1" si="11"/>
        <v>0</v>
      </c>
      <c r="S44" s="1">
        <f t="shared" ca="1" si="0"/>
        <v>0</v>
      </c>
      <c r="T44" s="1">
        <f t="shared" ca="1" si="1"/>
        <v>0</v>
      </c>
      <c r="U44" s="1">
        <f t="shared" ca="1" si="14"/>
        <v>0</v>
      </c>
      <c r="V44" s="1">
        <f t="shared" ca="1" si="0"/>
        <v>5.3419999999999996</v>
      </c>
      <c r="W44" s="1">
        <f t="shared" ca="1" si="1"/>
        <v>4.2469112691875699</v>
      </c>
      <c r="X44" s="1">
        <f t="shared" ca="1" si="17"/>
        <v>0.67147135904155741</v>
      </c>
      <c r="Y44" s="1">
        <f t="shared" ca="1" si="0"/>
        <v>4.6630000000000003</v>
      </c>
      <c r="Z44" s="1">
        <f t="shared" ca="1" si="1"/>
        <v>1.9236542998069912</v>
      </c>
      <c r="AA44" s="1">
        <f t="shared" ca="1" si="20"/>
        <v>0.30409607548788331</v>
      </c>
    </row>
    <row r="45" spans="1:27" x14ac:dyDescent="0.3">
      <c r="A45" s="1">
        <v>7</v>
      </c>
      <c r="C45" s="1" t="str">
        <f t="shared" ca="1" si="21"/>
        <v>icx_o3.x</v>
      </c>
      <c r="D45" s="1">
        <f t="shared" ca="1" si="22"/>
        <v>4.5540000000000003</v>
      </c>
      <c r="E45" s="1">
        <f t="shared" ca="1" si="23"/>
        <v>9.1550285463328933</v>
      </c>
      <c r="F45" s="1">
        <f t="shared" ca="1" si="24"/>
        <v>1.4475186649099694</v>
      </c>
      <c r="G45" s="1">
        <f t="shared" ca="1" si="0"/>
        <v>4.1340000000000003</v>
      </c>
      <c r="H45" s="1">
        <f t="shared" ca="1" si="1"/>
        <v>6.4325108853410731</v>
      </c>
      <c r="I45" s="1">
        <f t="shared" ca="1" si="2"/>
        <v>1.0171746492501208</v>
      </c>
      <c r="J45" s="1">
        <f t="shared" ca="1" si="0"/>
        <v>1.8759999999999999</v>
      </c>
      <c r="K45" s="1">
        <f t="shared" ca="1" si="1"/>
        <v>6.796375266524521</v>
      </c>
      <c r="L45" s="1">
        <f t="shared" ca="1" si="5"/>
        <v>1.0746268656716418</v>
      </c>
      <c r="M45" s="1">
        <f t="shared" ca="1" si="0"/>
        <v>1.849</v>
      </c>
      <c r="N45" s="1">
        <f t="shared" ca="1" si="1"/>
        <v>8.9296917252568946</v>
      </c>
      <c r="O45" s="1">
        <f t="shared" ca="1" si="8"/>
        <v>1.4121146565711196</v>
      </c>
      <c r="P45" s="1">
        <f t="shared" ca="1" si="0"/>
        <v>0</v>
      </c>
      <c r="Q45" s="1">
        <f t="shared" ca="1" si="1"/>
        <v>0</v>
      </c>
      <c r="R45" s="1">
        <f t="shared" ca="1" si="11"/>
        <v>0</v>
      </c>
      <c r="S45" s="1">
        <f t="shared" ca="1" si="0"/>
        <v>0</v>
      </c>
      <c r="T45" s="1">
        <f t="shared" ca="1" si="1"/>
        <v>0</v>
      </c>
      <c r="U45" s="1">
        <f t="shared" ca="1" si="14"/>
        <v>0</v>
      </c>
      <c r="V45" s="1">
        <f t="shared" ca="1" si="0"/>
        <v>5.3620000000000001</v>
      </c>
      <c r="W45" s="1">
        <f t="shared" ca="1" si="1"/>
        <v>3.9397612831033197</v>
      </c>
      <c r="X45" s="1">
        <f t="shared" ca="1" si="17"/>
        <v>0.62290190227527042</v>
      </c>
      <c r="Y45" s="1">
        <f t="shared" ca="1" si="0"/>
        <v>4.6449999999999996</v>
      </c>
      <c r="Z45" s="1">
        <f t="shared" ca="1" si="1"/>
        <v>1.2843918191603876</v>
      </c>
      <c r="AA45" s="1">
        <f t="shared" ca="1" si="20"/>
        <v>0.20301399354144242</v>
      </c>
    </row>
    <row r="46" spans="1:27" x14ac:dyDescent="0.3">
      <c r="A46" s="1">
        <v>8</v>
      </c>
    </row>
    <row r="47" spans="1:27" x14ac:dyDescent="0.3">
      <c r="A47" s="1">
        <v>9</v>
      </c>
    </row>
    <row r="48" spans="1:27" x14ac:dyDescent="0.3">
      <c r="A48" s="1">
        <v>10</v>
      </c>
    </row>
    <row r="49" spans="1:20" x14ac:dyDescent="0.3">
      <c r="A49" s="1">
        <v>11</v>
      </c>
    </row>
    <row r="50" spans="1:20" x14ac:dyDescent="0.3">
      <c r="A50" s="1">
        <v>12</v>
      </c>
    </row>
    <row r="51" spans="1:20" x14ac:dyDescent="0.3">
      <c r="A51" s="1">
        <v>13</v>
      </c>
    </row>
    <row r="52" spans="1:20" x14ac:dyDescent="0.3">
      <c r="A52" s="1">
        <v>14</v>
      </c>
    </row>
    <row r="53" spans="1:20" x14ac:dyDescent="0.3">
      <c r="A53" s="1">
        <v>15</v>
      </c>
    </row>
    <row r="54" spans="1:20" x14ac:dyDescent="0.3">
      <c r="A54" s="1">
        <v>16</v>
      </c>
    </row>
    <row r="55" spans="1:20" x14ac:dyDescent="0.3">
      <c r="A55" s="1">
        <v>17</v>
      </c>
    </row>
    <row r="56" spans="1:20" x14ac:dyDescent="0.3">
      <c r="A56" s="1">
        <v>18</v>
      </c>
    </row>
    <row r="57" spans="1:20" x14ac:dyDescent="0.3">
      <c r="A57" s="1">
        <v>19</v>
      </c>
    </row>
    <row r="58" spans="1:20" x14ac:dyDescent="0.3">
      <c r="A58" s="1">
        <v>20</v>
      </c>
    </row>
    <row r="59" spans="1:20" x14ac:dyDescent="0.3">
      <c r="A59" s="1">
        <v>21</v>
      </c>
    </row>
    <row r="60" spans="1:20" x14ac:dyDescent="0.3">
      <c r="A60" s="1">
        <v>22</v>
      </c>
    </row>
    <row r="61" spans="1:20" x14ac:dyDescent="0.3">
      <c r="A61" s="1">
        <v>23</v>
      </c>
    </row>
    <row r="62" spans="1:20" x14ac:dyDescent="0.3">
      <c r="A62" s="1">
        <v>24</v>
      </c>
    </row>
    <row r="63" spans="1:20" x14ac:dyDescent="0.3">
      <c r="D63" s="1">
        <v>4</v>
      </c>
      <c r="F63" s="1">
        <v>10</v>
      </c>
      <c r="H63" s="1">
        <v>16</v>
      </c>
      <c r="J63" s="1">
        <v>22</v>
      </c>
      <c r="L63" s="1">
        <v>7</v>
      </c>
      <c r="N63" s="1">
        <f>L63+6</f>
        <v>13</v>
      </c>
      <c r="P63" s="1">
        <f>N63+6</f>
        <v>19</v>
      </c>
      <c r="R63" s="1">
        <f>P63+6</f>
        <v>25</v>
      </c>
    </row>
    <row r="64" spans="1:20" ht="25" thickBot="1" x14ac:dyDescent="0.3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50" customHeight="1" thickBot="1" x14ac:dyDescent="0.35">
      <c r="B65" s="6"/>
      <c r="C65" s="26" t="s">
        <v>140</v>
      </c>
      <c r="D65" s="27" t="str" cm="1">
        <f t="array" aca="1" ref="D65" ca="1">INDIRECT(ADDRESS(ROW(D37),D63))</f>
        <v>AMD Ryzen 7 5800X</v>
      </c>
      <c r="E65" s="28"/>
      <c r="F65" s="28" t="str" cm="1">
        <f t="array" aca="1" ref="F65" ca="1">INDIRECT(ADDRESS(ROW(E37),F63))</f>
        <v>AMD EPYC Turin</v>
      </c>
      <c r="G65" s="28"/>
      <c r="H65" s="28" t="str" cm="1">
        <f t="array" aca="1" ref="H65" ca="1">INDIRECT(ADDRESS(ROW(F37),H63))</f>
        <v>Apple ARM M1 Max</v>
      </c>
      <c r="I65" s="28"/>
      <c r="J65" s="28" t="str" cm="1">
        <f t="array" aca="1" ref="J65" ca="1">INDIRECT(ADDRESS(ROW(G37),J63))</f>
        <v xml:space="preserve">Intel Xeon Platinum </v>
      </c>
      <c r="K65" s="29"/>
      <c r="L65" s="30" t="str" cm="1">
        <f t="array" aca="1" ref="L65" ca="1">INDIRECT(ADDRESS(ROW(H37),L63))</f>
        <v>AMD Ryzen 7 5800X ASE</v>
      </c>
      <c r="M65" s="31"/>
      <c r="N65" s="31" t="str" cm="1">
        <f t="array" aca="1" ref="N65" ca="1">INDIRECT(ADDRESS(ROW(I37),N63))</f>
        <v>AMD EPYC Turin ASE</v>
      </c>
      <c r="O65" s="31"/>
      <c r="P65" s="31" t="str" cm="1">
        <f t="array" aca="1" ref="P65" ca="1">INDIRECT(ADDRESS(ROW(J37),P63))</f>
        <v>Apple ARM M1 Max ASE</v>
      </c>
      <c r="Q65" s="31"/>
      <c r="R65" s="31" t="str" cm="1">
        <f t="array" aca="1" ref="R65" ca="1">INDIRECT(ADDRESS(ROW(K37),R63))</f>
        <v>Intel Xeon Platinum ASE</v>
      </c>
      <c r="S65" s="32"/>
      <c r="T65" s="6"/>
    </row>
    <row r="66" spans="1:20" x14ac:dyDescent="0.3">
      <c r="A66" s="1">
        <v>0</v>
      </c>
      <c r="B66" s="6"/>
      <c r="C66" s="42" t="str">
        <f ca="1">SUBSTITUTE(LEFT(C38,FIND(".",C38)-1),"pp","++")</f>
        <v>gfortran</v>
      </c>
      <c r="D66" s="43" cm="1">
        <f t="array" aca="1" ref="D66" ca="1">INDIRECT(ADDRESS(ROW($D$38)+$A66,D$63))</f>
        <v>7.0679999999999996</v>
      </c>
      <c r="E66" s="44" t="str" cm="1">
        <f t="array" aca="1" ref="E66" ca="1">"("&amp;TEXT(INDIRECT(ADDRESS(ROW($D$38)+$A66,D$63+2)),"0.0")&amp;"%)"</f>
        <v>(0.5%)</v>
      </c>
      <c r="F66" s="45" cm="1">
        <f t="array" aca="1" ref="F66" ca="1">INDIRECT(ADDRESS(ROW($D$38)+$A66,F$63))</f>
        <v>5.42</v>
      </c>
      <c r="G66" s="44" t="str" cm="1">
        <f t="array" aca="1" ref="G66" ca="1">"("&amp;TEXT(INDIRECT(ADDRESS(ROW($D$38)+$A66,F$63+2)),"0.0")&amp;"%)"</f>
        <v>(0.1%)</v>
      </c>
      <c r="H66" s="45" cm="1">
        <f t="array" aca="1" ref="H66" ca="1">INDIRECT(ADDRESS(ROW($D$38)+$A66,H$63))</f>
        <v>11.939</v>
      </c>
      <c r="I66" s="44" t="str" cm="1">
        <f t="array" aca="1" ref="I66" ca="1">"("&amp;TEXT(INDIRECT(ADDRESS(ROW($D$38)+$A66,H$63+2)),"0.0")&amp;"%)"</f>
        <v>(0.8%)</v>
      </c>
      <c r="J66" s="45" cm="1">
        <f t="array" aca="1" ref="J66" ca="1">INDIRECT(ADDRESS(ROW($D$38)+$A66,J$63))</f>
        <v>6.5730000000000004</v>
      </c>
      <c r="K66" s="46" t="str" cm="1">
        <f t="array" aca="1" ref="K66" ca="1">"("&amp;TEXT(INDIRECT(ADDRESS(ROW($D$38)+$A66,J$63+2)),"0.0")&amp;"%)"</f>
        <v>(0.1%)</v>
      </c>
      <c r="L66" s="47" cm="1">
        <f t="array" aca="1" ref="L66" ca="1">INDIRECT(ADDRESS(ROW($D$38)+$A66,L$63))</f>
        <v>7.0380000000000003</v>
      </c>
      <c r="M66" s="48" t="str" cm="1">
        <f t="array" aca="1" ref="M66" ca="1">"("&amp;TEXT(INDIRECT(ADDRESS(ROW($D$38)+$A66,L$63+2)),"0.0")&amp;"%)"</f>
        <v>(0.4%)</v>
      </c>
      <c r="N66" s="49" cm="1">
        <f t="array" aca="1" ref="N66" ca="1">INDIRECT(ADDRESS(ROW($D$38)+$A66,N$63))</f>
        <v>5.399</v>
      </c>
      <c r="O66" s="48" t="str" cm="1">
        <f t="array" aca="1" ref="O66" ca="1">"("&amp;TEXT(INDIRECT(ADDRESS(ROW($D$38)+$A66,N$63+2)),"0.0")&amp;"%)"</f>
        <v>(0.0%)</v>
      </c>
      <c r="P66" s="49" cm="1">
        <f t="array" aca="1" ref="P66" ca="1">INDIRECT(ADDRESS(ROW($D$38)+$A66,P$63))</f>
        <v>11.974</v>
      </c>
      <c r="Q66" s="48" t="str" cm="1">
        <f t="array" aca="1" ref="Q66" ca="1">"("&amp;TEXT(INDIRECT(ADDRESS(ROW($D$38)+$A66,P$63+2)),"0.0")&amp;"%)"</f>
        <v>(0.7%)</v>
      </c>
      <c r="R66" s="49" cm="1">
        <f t="array" aca="1" ref="R66" ca="1">INDIRECT(ADDRESS(ROW($D$38)+$A66,R$63))</f>
        <v>6.5869999999999997</v>
      </c>
      <c r="S66" s="50" t="str" cm="1">
        <f t="array" aca="1" ref="S66" ca="1">"("&amp;TEXT(INDIRECT(ADDRESS(ROW($D$38)+$A66,R$63+2)),"0.0")&amp;"%)"</f>
        <v>(0.1%)</v>
      </c>
      <c r="T66" s="6"/>
    </row>
    <row r="67" spans="1:20" x14ac:dyDescent="0.3">
      <c r="A67" s="1">
        <v>1</v>
      </c>
      <c r="B67" s="6"/>
      <c r="C67" s="24" t="str">
        <f t="shared" ref="C67:C73" ca="1" si="25">SUBSTITUTE(LEFT(C39,FIND(".",C39)-1),"pp","++")</f>
        <v>gfortran_o3</v>
      </c>
      <c r="D67" s="10" cm="1">
        <f t="array" aca="1" ref="D67" ca="1">INDIRECT(ADDRESS(ROW($D$38)+$A67,D$63))</f>
        <v>7.0940000000000003</v>
      </c>
      <c r="E67" s="9" t="str" cm="1">
        <f t="array" aca="1" ref="E67" ca="1">"("&amp;TEXT(INDIRECT(ADDRESS(ROW($D$38)+$A67,D$63+2)),"0.0")&amp;"%)"</f>
        <v>(0.4%)</v>
      </c>
      <c r="F67" s="8" cm="1">
        <f t="array" aca="1" ref="F67" ca="1">INDIRECT(ADDRESS(ROW($D$38)+$A67,F$63))</f>
        <v>5.4189999999999996</v>
      </c>
      <c r="G67" s="9" t="str" cm="1">
        <f t="array" aca="1" ref="G67" ca="1">"("&amp;TEXT(INDIRECT(ADDRESS(ROW($D$38)+$A67,F$63+2)),"0.0")&amp;"%)"</f>
        <v>(0.1%)</v>
      </c>
      <c r="H67" s="8" cm="1">
        <f t="array" aca="1" ref="H67" ca="1">INDIRECT(ADDRESS(ROW($D$38)+$A67,H$63))</f>
        <v>12.004</v>
      </c>
      <c r="I67" s="9" t="str" cm="1">
        <f t="array" aca="1" ref="I67" ca="1">"("&amp;TEXT(INDIRECT(ADDRESS(ROW($D$38)+$A67,H$63+2)),"0.0")&amp;"%)"</f>
        <v>(0.6%)</v>
      </c>
      <c r="J67" s="8" cm="1">
        <f t="array" aca="1" ref="J67" ca="1">INDIRECT(ADDRESS(ROW($D$38)+$A67,J$63))</f>
        <v>6.5259999999999998</v>
      </c>
      <c r="K67" s="11" t="str" cm="1">
        <f t="array" aca="1" ref="K67" ca="1">"("&amp;TEXT(INDIRECT(ADDRESS(ROW($D$38)+$A67,J$63+2)),"0.0")&amp;"%)"</f>
        <v>(0.1%)</v>
      </c>
      <c r="L67" s="16" cm="1">
        <f t="array" aca="1" ref="L67" ca="1">INDIRECT(ADDRESS(ROW($D$38)+$A67,L$63))</f>
        <v>7.0359999999999996</v>
      </c>
      <c r="M67" s="20" t="str" cm="1">
        <f t="array" aca="1" ref="M67" ca="1">"("&amp;TEXT(INDIRECT(ADDRESS(ROW($D$38)+$A67,L$63+2)),"0.0")&amp;"%)"</f>
        <v>(0.6%)</v>
      </c>
      <c r="N67" s="17" cm="1">
        <f t="array" aca="1" ref="N67" ca="1">INDIRECT(ADDRESS(ROW($D$38)+$A67,N$63))</f>
        <v>5.4180000000000001</v>
      </c>
      <c r="O67" s="20" t="str" cm="1">
        <f t="array" aca="1" ref="O67" ca="1">"("&amp;TEXT(INDIRECT(ADDRESS(ROW($D$38)+$A67,N$63+2)),"0.0")&amp;"%)"</f>
        <v>(0.1%)</v>
      </c>
      <c r="P67" s="17" cm="1">
        <f t="array" aca="1" ref="P67" ca="1">INDIRECT(ADDRESS(ROW($D$38)+$A67,P$63))</f>
        <v>12.082000000000001</v>
      </c>
      <c r="Q67" s="20" t="str" cm="1">
        <f t="array" aca="1" ref="Q67" ca="1">"("&amp;TEXT(INDIRECT(ADDRESS(ROW($D$38)+$A67,P$63+2)),"0.0")&amp;"%)"</f>
        <v>(0.7%)</v>
      </c>
      <c r="R67" s="17" cm="1">
        <f t="array" aca="1" ref="R67" ca="1">INDIRECT(ADDRESS(ROW($D$38)+$A67,R$63))</f>
        <v>6.5419999999999998</v>
      </c>
      <c r="S67" s="22" t="str" cm="1">
        <f t="array" aca="1" ref="S67" ca="1">"("&amp;TEXT(INDIRECT(ADDRESS(ROW($D$38)+$A67,R$63+2)),"0.0")&amp;"%)"</f>
        <v>(0.1%)</v>
      </c>
      <c r="T67" s="6"/>
    </row>
    <row r="68" spans="1:20" x14ac:dyDescent="0.3">
      <c r="A68" s="1">
        <v>2</v>
      </c>
      <c r="B68" s="6"/>
      <c r="C68" s="24" t="str">
        <f t="shared" ca="1" si="25"/>
        <v>ifx</v>
      </c>
      <c r="D68" s="10" cm="1">
        <f t="array" aca="1" ref="D68" ca="1">INDIRECT(ADDRESS(ROW($D$38)+$A68,D$63))</f>
        <v>6.5250000000000004</v>
      </c>
      <c r="E68" s="9" t="str" cm="1">
        <f t="array" aca="1" ref="E68" ca="1">"("&amp;TEXT(INDIRECT(ADDRESS(ROW($D$38)+$A68,D$63+2)),"0.0")&amp;"%)"</f>
        <v>(3.9%)</v>
      </c>
      <c r="F68" s="8" cm="1">
        <f t="array" aca="1" ref="F68" ca="1">INDIRECT(ADDRESS(ROW($D$38)+$A68,F$63))</f>
        <v>5.4009999999999998</v>
      </c>
      <c r="G68" s="9" t="str" cm="1">
        <f t="array" aca="1" ref="G68" ca="1">"("&amp;TEXT(INDIRECT(ADDRESS(ROW($D$38)+$A68,F$63+2)),"0.0")&amp;"%)"</f>
        <v>(0.1%)</v>
      </c>
      <c r="H68" s="8" cm="1">
        <f t="array" aca="1" ref="H68" ca="1">INDIRECT(ADDRESS(ROW($D$38)+$A68,H$63))</f>
        <v>0</v>
      </c>
      <c r="I68" s="9" t="str" cm="1">
        <f t="array" aca="1" ref="I68" ca="1">"("&amp;TEXT(INDIRECT(ADDRESS(ROW($D$38)+$A68,H$63+2)),"0.0")&amp;"%)"</f>
        <v>(0.0%)</v>
      </c>
      <c r="J68" s="8" cm="1">
        <f t="array" aca="1" ref="J68" ca="1">INDIRECT(ADDRESS(ROW($D$38)+$A68,J$63))</f>
        <v>6.532</v>
      </c>
      <c r="K68" s="11" t="str" cm="1">
        <f t="array" aca="1" ref="K68" ca="1">"("&amp;TEXT(INDIRECT(ADDRESS(ROW($D$38)+$A68,J$63+2)),"0.0")&amp;"%)"</f>
        <v>(0.1%)</v>
      </c>
      <c r="L68" s="16" cm="1">
        <f t="array" aca="1" ref="L68" ca="1">INDIRECT(ADDRESS(ROW($D$38)+$A68,L$63))</f>
        <v>3.9750000000000001</v>
      </c>
      <c r="M68" s="20" t="str" cm="1">
        <f t="array" aca="1" ref="M68" ca="1">"("&amp;TEXT(INDIRECT(ADDRESS(ROW($D$38)+$A68,L$63+2)),"0.0")&amp;"%)"</f>
        <v>(3.7%)</v>
      </c>
      <c r="N68" s="17" cm="1">
        <f t="array" aca="1" ref="N68" ca="1">INDIRECT(ADDRESS(ROW($D$38)+$A68,N$63))</f>
        <v>1.972</v>
      </c>
      <c r="O68" s="20" t="str" cm="1">
        <f t="array" aca="1" ref="O68" ca="1">"("&amp;TEXT(INDIRECT(ADDRESS(ROW($D$38)+$A68,N$63+2)),"0.0")&amp;"%)"</f>
        <v>(0.9%)</v>
      </c>
      <c r="P68" s="17" cm="1">
        <f t="array" aca="1" ref="P68" ca="1">INDIRECT(ADDRESS(ROW($D$38)+$A68,P$63))</f>
        <v>0</v>
      </c>
      <c r="Q68" s="20" t="str" cm="1">
        <f t="array" aca="1" ref="Q68" ca="1">"("&amp;TEXT(INDIRECT(ADDRESS(ROW($D$38)+$A68,P$63+2)),"0.0")&amp;"%)"</f>
        <v>(0.0%)</v>
      </c>
      <c r="R68" s="17" cm="1">
        <f t="array" aca="1" ref="R68" ca="1">INDIRECT(ADDRESS(ROW($D$38)+$A68,R$63))</f>
        <v>4.5960000000000001</v>
      </c>
      <c r="S68" s="22" t="str" cm="1">
        <f t="array" aca="1" ref="S68" ca="1">"("&amp;TEXT(INDIRECT(ADDRESS(ROW($D$38)+$A68,R$63+2)),"0.0")&amp;"%)"</f>
        <v>(0.2%)</v>
      </c>
      <c r="T68" s="6"/>
    </row>
    <row r="69" spans="1:20" ht="25" thickBot="1" x14ac:dyDescent="0.35">
      <c r="A69" s="1">
        <v>3</v>
      </c>
      <c r="B69" s="6"/>
      <c r="C69" s="25" t="str">
        <f t="shared" ca="1" si="25"/>
        <v>ifx_o3</v>
      </c>
      <c r="D69" s="12" cm="1">
        <f t="array" aca="1" ref="D69" ca="1">INDIRECT(ADDRESS(ROW($D$38)+$A69,D$63))</f>
        <v>6.875</v>
      </c>
      <c r="E69" s="13" t="str" cm="1">
        <f t="array" aca="1" ref="E69" ca="1">"("&amp;TEXT(INDIRECT(ADDRESS(ROW($D$38)+$A69,D$63+2)),"0.0")&amp;"%)"</f>
        <v>(2.3%)</v>
      </c>
      <c r="F69" s="14" cm="1">
        <f t="array" aca="1" ref="F69" ca="1">INDIRECT(ADDRESS(ROW($D$38)+$A69,F$63))</f>
        <v>5.423</v>
      </c>
      <c r="G69" s="13" t="str" cm="1">
        <f t="array" aca="1" ref="G69" ca="1">"("&amp;TEXT(INDIRECT(ADDRESS(ROW($D$38)+$A69,F$63+2)),"0.0")&amp;"%)"</f>
        <v>(0.1%)</v>
      </c>
      <c r="H69" s="14" cm="1">
        <f t="array" aca="1" ref="H69" ca="1">INDIRECT(ADDRESS(ROW($D$38)+$A69,H$63))</f>
        <v>0</v>
      </c>
      <c r="I69" s="13" t="str" cm="1">
        <f t="array" aca="1" ref="I69" ca="1">"("&amp;TEXT(INDIRECT(ADDRESS(ROW($D$38)+$A69,H$63+2)),"0.0")&amp;"%)"</f>
        <v>(0.0%)</v>
      </c>
      <c r="J69" s="14" cm="1">
        <f t="array" aca="1" ref="J69" ca="1">INDIRECT(ADDRESS(ROW($D$38)+$A69,J$63))</f>
        <v>6.5460000000000003</v>
      </c>
      <c r="K69" s="15" t="str" cm="1">
        <f t="array" aca="1" ref="K69" ca="1">"("&amp;TEXT(INDIRECT(ADDRESS(ROW($D$38)+$A69,J$63+2)),"0.0")&amp;"%)"</f>
        <v>(0.1%)</v>
      </c>
      <c r="L69" s="18" cm="1">
        <f t="array" aca="1" ref="L69" ca="1">INDIRECT(ADDRESS(ROW($D$38)+$A69,L$63))</f>
        <v>3.95</v>
      </c>
      <c r="M69" s="21" t="str" cm="1">
        <f t="array" aca="1" ref="M69" ca="1">"("&amp;TEXT(INDIRECT(ADDRESS(ROW($D$38)+$A69,L$63+2)),"0.0")&amp;"%)"</f>
        <v>(7.0%)</v>
      </c>
      <c r="N69" s="19" cm="1">
        <f t="array" aca="1" ref="N69" ca="1">INDIRECT(ADDRESS(ROW($D$38)+$A69,N$63))</f>
        <v>1.9379999999999999</v>
      </c>
      <c r="O69" s="21" t="str" cm="1">
        <f t="array" aca="1" ref="O69" ca="1">"("&amp;TEXT(INDIRECT(ADDRESS(ROW($D$38)+$A69,N$63+2)),"0.0")&amp;"%)"</f>
        <v>(0.9%)</v>
      </c>
      <c r="P69" s="19" cm="1">
        <f t="array" aca="1" ref="P69" ca="1">INDIRECT(ADDRESS(ROW($D$38)+$A69,P$63))</f>
        <v>0</v>
      </c>
      <c r="Q69" s="21" t="str" cm="1">
        <f t="array" aca="1" ref="Q69" ca="1">"("&amp;TEXT(INDIRECT(ADDRESS(ROW($D$38)+$A69,P$63+2)),"0.0")&amp;"%)"</f>
        <v>(0.0%)</v>
      </c>
      <c r="R69" s="19" cm="1">
        <f t="array" aca="1" ref="R69" ca="1">INDIRECT(ADDRESS(ROW($D$38)+$A69,R$63))</f>
        <v>4.6029999999999998</v>
      </c>
      <c r="S69" s="23" t="str" cm="1">
        <f t="array" aca="1" ref="S69" ca="1">"("&amp;TEXT(INDIRECT(ADDRESS(ROW($D$38)+$A69,R$63+2)),"0.0")&amp;"%)"</f>
        <v>(0.2%)</v>
      </c>
      <c r="T69" s="6"/>
    </row>
    <row r="70" spans="1:20" x14ac:dyDescent="0.3">
      <c r="A70" s="1">
        <v>4</v>
      </c>
      <c r="B70" s="6"/>
      <c r="C70" s="33" t="str">
        <f t="shared" ca="1" si="25"/>
        <v>g++</v>
      </c>
      <c r="D70" s="34" cm="1">
        <f t="array" aca="1" ref="D70" ca="1">INDIRECT(ADDRESS(ROW($D$38)+$A70,D$63))</f>
        <v>7.0819999999999999</v>
      </c>
      <c r="E70" s="35" t="str" cm="1">
        <f t="array" aca="1" ref="E70" ca="1">"("&amp;TEXT(INDIRECT(ADDRESS(ROW($D$38)+$A70,D$63+2)),"0.0")&amp;"%)"</f>
        <v>(0.5%)</v>
      </c>
      <c r="F70" s="36" cm="1">
        <f t="array" aca="1" ref="F70" ca="1">INDIRECT(ADDRESS(ROW($D$38)+$A70,F$63))</f>
        <v>32.33</v>
      </c>
      <c r="G70" s="35" t="str" cm="1">
        <f t="array" aca="1" ref="G70" ca="1">"("&amp;TEXT(INDIRECT(ADDRESS(ROW($D$38)+$A70,F$63+2)),"0.0")&amp;"%)"</f>
        <v>(0.0%)</v>
      </c>
      <c r="H70" s="36" cm="1">
        <f t="array" aca="1" ref="H70" ca="1">INDIRECT(ADDRESS(ROW($D$38)+$A70,H$63))</f>
        <v>12.334</v>
      </c>
      <c r="I70" s="35" t="str" cm="1">
        <f t="array" aca="1" ref="I70" ca="1">"("&amp;TEXT(INDIRECT(ADDRESS(ROW($D$38)+$A70,H$63+2)),"0.0")&amp;"%)"</f>
        <v>(0.9%)</v>
      </c>
      <c r="J70" s="36" cm="1">
        <f t="array" aca="1" ref="J70" ca="1">INDIRECT(ADDRESS(ROW($D$38)+$A70,J$63))</f>
        <v>18.867000000000001</v>
      </c>
      <c r="K70" s="37" t="str" cm="1">
        <f t="array" aca="1" ref="K70" ca="1">"("&amp;TEXT(INDIRECT(ADDRESS(ROW($D$38)+$A70,J$63+2)),"0.0")&amp;"%)"</f>
        <v>(0.3%)</v>
      </c>
      <c r="L70" s="38" cm="1">
        <f t="array" aca="1" ref="L70" ca="1">INDIRECT(ADDRESS(ROW($D$38)+$A70,L$63))</f>
        <v>7.5209999999999999</v>
      </c>
      <c r="M70" s="39" t="str" cm="1">
        <f t="array" aca="1" ref="M70" ca="1">"("&amp;TEXT(INDIRECT(ADDRESS(ROW($D$38)+$A70,L$63+2)),"0.0")&amp;"%)"</f>
        <v>(1.0%)</v>
      </c>
      <c r="N70" s="40" cm="1">
        <f t="array" aca="1" ref="N70" ca="1">INDIRECT(ADDRESS(ROW($D$38)+$A70,N$63))</f>
        <v>26.966999999999999</v>
      </c>
      <c r="O70" s="39" t="str" cm="1">
        <f t="array" aca="1" ref="O70" ca="1">"("&amp;TEXT(INDIRECT(ADDRESS(ROW($D$38)+$A70,N$63+2)),"0.0")&amp;"%)"</f>
        <v>(0.1%)</v>
      </c>
      <c r="P70" s="40" cm="1">
        <f t="array" aca="1" ref="P70" ca="1">INDIRECT(ADDRESS(ROW($D$38)+$A70,P$63))</f>
        <v>12.117000000000001</v>
      </c>
      <c r="Q70" s="39" t="str" cm="1">
        <f t="array" aca="1" ref="Q70" ca="1">"("&amp;TEXT(INDIRECT(ADDRESS(ROW($D$38)+$A70,P$63+2)),"0.0")&amp;"%)"</f>
        <v>(0.9%)</v>
      </c>
      <c r="R70" s="40" cm="1">
        <f t="array" aca="1" ref="R70" ca="1">INDIRECT(ADDRESS(ROW($D$38)+$A70,R$63))</f>
        <v>18.722000000000001</v>
      </c>
      <c r="S70" s="41" t="str" cm="1">
        <f t="array" aca="1" ref="S70" ca="1">"("&amp;TEXT(INDIRECT(ADDRESS(ROW($D$38)+$A70,R$63+2)),"0.0")&amp;"%)"</f>
        <v>(0.0%)</v>
      </c>
      <c r="T70" s="6"/>
    </row>
    <row r="71" spans="1:20" x14ac:dyDescent="0.3">
      <c r="A71" s="1">
        <v>5</v>
      </c>
      <c r="B71" s="6"/>
      <c r="C71" s="24" t="str">
        <f t="shared" ca="1" si="25"/>
        <v>g++_o3</v>
      </c>
      <c r="D71" s="10" cm="1">
        <f t="array" aca="1" ref="D71" ca="1">INDIRECT(ADDRESS(ROW($D$38)+$A71,D$63))</f>
        <v>7.1029999999999998</v>
      </c>
      <c r="E71" s="9" t="str" cm="1">
        <f t="array" aca="1" ref="E71" ca="1">"("&amp;TEXT(INDIRECT(ADDRESS(ROW($D$38)+$A71,D$63+2)),"0.0")&amp;"%)"</f>
        <v>(0.4%)</v>
      </c>
      <c r="F71" s="8" cm="1">
        <f t="array" aca="1" ref="F71" ca="1">INDIRECT(ADDRESS(ROW($D$38)+$A71,F$63))</f>
        <v>18.872</v>
      </c>
      <c r="G71" s="9" t="str" cm="1">
        <f t="array" aca="1" ref="G71" ca="1">"("&amp;TEXT(INDIRECT(ADDRESS(ROW($D$38)+$A71,F$63+2)),"0.0")&amp;"%)"</f>
        <v>(0.1%)</v>
      </c>
      <c r="H71" s="8" cm="1">
        <f t="array" aca="1" ref="H71" ca="1">INDIRECT(ADDRESS(ROW($D$38)+$A71,H$63))</f>
        <v>12.651999999999999</v>
      </c>
      <c r="I71" s="9" t="str" cm="1">
        <f t="array" aca="1" ref="I71" ca="1">"("&amp;TEXT(INDIRECT(ADDRESS(ROW($D$38)+$A71,H$63+2)),"0.0")&amp;"%)"</f>
        <v>(1.4%)</v>
      </c>
      <c r="J71" s="8" cm="1">
        <f t="array" aca="1" ref="J71" ca="1">INDIRECT(ADDRESS(ROW($D$38)+$A71,J$63))</f>
        <v>12.476000000000001</v>
      </c>
      <c r="K71" s="11" t="str" cm="1">
        <f t="array" aca="1" ref="K71" ca="1">"("&amp;TEXT(INDIRECT(ADDRESS(ROW($D$38)+$A71,J$63+2)),"0.0")&amp;"%)"</f>
        <v>(0.1%)</v>
      </c>
      <c r="L71" s="16" cm="1">
        <f t="array" aca="1" ref="L71" ca="1">INDIRECT(ADDRESS(ROW($D$38)+$A71,L$63))</f>
        <v>7.0449999999999999</v>
      </c>
      <c r="M71" s="20" t="str" cm="1">
        <f t="array" aca="1" ref="M71" ca="1">"("&amp;TEXT(INDIRECT(ADDRESS(ROW($D$38)+$A71,L$63+2)),"0.0")&amp;"%)"</f>
        <v>(0.5%)</v>
      </c>
      <c r="N71" s="17" cm="1">
        <f t="array" aca="1" ref="N71" ca="1">INDIRECT(ADDRESS(ROW($D$38)+$A71,N$63))</f>
        <v>8.08</v>
      </c>
      <c r="O71" s="20" t="str" cm="1">
        <f t="array" aca="1" ref="O71" ca="1">"("&amp;TEXT(INDIRECT(ADDRESS(ROW($D$38)+$A71,N$63+2)),"0.0")&amp;"%)"</f>
        <v>(0.0%)</v>
      </c>
      <c r="P71" s="17" cm="1">
        <f t="array" aca="1" ref="P71" ca="1">INDIRECT(ADDRESS(ROW($D$38)+$A71,P$63))</f>
        <v>12.116</v>
      </c>
      <c r="Q71" s="20" t="str" cm="1">
        <f t="array" aca="1" ref="Q71" ca="1">"("&amp;TEXT(INDIRECT(ADDRESS(ROW($D$38)+$A71,P$63+2)),"0.0")&amp;"%)"</f>
        <v>(1.1%)</v>
      </c>
      <c r="R71" s="17" cm="1">
        <f t="array" aca="1" ref="R71" ca="1">INDIRECT(ADDRESS(ROW($D$38)+$A71,R$63))</f>
        <v>9.5850000000000009</v>
      </c>
      <c r="S71" s="22" t="str" cm="1">
        <f t="array" aca="1" ref="S71" ca="1">"("&amp;TEXT(INDIRECT(ADDRESS(ROW($D$38)+$A71,R$63+2)),"0.0")&amp;"%)"</f>
        <v>(0.2%)</v>
      </c>
      <c r="T71" s="6"/>
    </row>
    <row r="72" spans="1:20" x14ac:dyDescent="0.3">
      <c r="A72" s="1">
        <v>6</v>
      </c>
      <c r="B72" s="6"/>
      <c r="C72" s="24" t="str">
        <f t="shared" ca="1" si="25"/>
        <v>icx</v>
      </c>
      <c r="D72" s="10" cm="1">
        <f t="array" aca="1" ref="D72" ca="1">INDIRECT(ADDRESS(ROW($D$38)+$A72,D$63))</f>
        <v>4.5919999999999996</v>
      </c>
      <c r="E72" s="9" t="str" cm="1">
        <f t="array" aca="1" ref="E72" ca="1">"("&amp;TEXT(INDIRECT(ADDRESS(ROW($D$38)+$A72,D$63+2)),"0.0")&amp;"%)"</f>
        <v>(1.4%)</v>
      </c>
      <c r="F72" s="8" cm="1">
        <f t="array" aca="1" ref="F72" ca="1">INDIRECT(ADDRESS(ROW($D$38)+$A72,F$63))</f>
        <v>1.94</v>
      </c>
      <c r="G72" s="9" t="str" cm="1">
        <f t="array" aca="1" ref="G72" ca="1">"("&amp;TEXT(INDIRECT(ADDRESS(ROW($D$38)+$A72,F$63+2)),"0.0")&amp;"%)"</f>
        <v>(1.1%)</v>
      </c>
      <c r="H72" s="8" cm="1">
        <f t="array" aca="1" ref="H72" ca="1">INDIRECT(ADDRESS(ROW($D$38)+$A72,H$63))</f>
        <v>0</v>
      </c>
      <c r="I72" s="9" t="str" cm="1">
        <f t="array" aca="1" ref="I72" ca="1">"("&amp;TEXT(INDIRECT(ADDRESS(ROW($D$38)+$A72,H$63+2)),"0.0")&amp;"%)"</f>
        <v>(0.0%)</v>
      </c>
      <c r="J72" s="8" cm="1">
        <f t="array" aca="1" ref="J72" ca="1">INDIRECT(ADDRESS(ROW($D$38)+$A72,J$63))</f>
        <v>5.3419999999999996</v>
      </c>
      <c r="K72" s="11" t="str" cm="1">
        <f t="array" aca="1" ref="K72" ca="1">"("&amp;TEXT(INDIRECT(ADDRESS(ROW($D$38)+$A72,J$63+2)),"0.0")&amp;"%)"</f>
        <v>(0.7%)</v>
      </c>
      <c r="L72" s="16" cm="1">
        <f t="array" aca="1" ref="L72" ca="1">INDIRECT(ADDRESS(ROW($D$38)+$A72,L$63))</f>
        <v>4.1669999999999998</v>
      </c>
      <c r="M72" s="20" t="str" cm="1">
        <f t="array" aca="1" ref="M72" ca="1">"("&amp;TEXT(INDIRECT(ADDRESS(ROW($D$38)+$A72,L$63+2)),"0.0")&amp;"%)"</f>
        <v>(1.3%)</v>
      </c>
      <c r="N72" s="17" cm="1">
        <f t="array" aca="1" ref="N72" ca="1">INDIRECT(ADDRESS(ROW($D$38)+$A72,N$63))</f>
        <v>1.915</v>
      </c>
      <c r="O72" s="20" t="str" cm="1">
        <f t="array" aca="1" ref="O72" ca="1">"("&amp;TEXT(INDIRECT(ADDRESS(ROW($D$38)+$A72,N$63+2)),"0.0")&amp;"%)"</f>
        <v>(1.2%)</v>
      </c>
      <c r="P72" s="17" cm="1">
        <f t="array" aca="1" ref="P72" ca="1">INDIRECT(ADDRESS(ROW($D$38)+$A72,P$63))</f>
        <v>0</v>
      </c>
      <c r="Q72" s="20" t="str" cm="1">
        <f t="array" aca="1" ref="Q72" ca="1">"("&amp;TEXT(INDIRECT(ADDRESS(ROW($D$38)+$A72,P$63+2)),"0.0")&amp;"%)"</f>
        <v>(0.0%)</v>
      </c>
      <c r="R72" s="17" cm="1">
        <f t="array" aca="1" ref="R72" ca="1">INDIRECT(ADDRESS(ROW($D$38)+$A72,R$63))</f>
        <v>4.6630000000000003</v>
      </c>
      <c r="S72" s="22" t="str" cm="1">
        <f t="array" aca="1" ref="S72" ca="1">"("&amp;TEXT(INDIRECT(ADDRESS(ROW($D$38)+$A72,R$63+2)),"0.0")&amp;"%)"</f>
        <v>(0.3%)</v>
      </c>
      <c r="T72" s="6"/>
    </row>
    <row r="73" spans="1:20" ht="25" thickBot="1" x14ac:dyDescent="0.35">
      <c r="A73" s="1">
        <v>7</v>
      </c>
      <c r="B73" s="6"/>
      <c r="C73" s="25" t="str">
        <f t="shared" ca="1" si="25"/>
        <v>icx_o3</v>
      </c>
      <c r="D73" s="12" cm="1">
        <f t="array" aca="1" ref="D73" ca="1">INDIRECT(ADDRESS(ROW($D$38)+$A73,D$63))</f>
        <v>4.5540000000000003</v>
      </c>
      <c r="E73" s="13" t="str" cm="1">
        <f t="array" aca="1" ref="E73" ca="1">"("&amp;TEXT(INDIRECT(ADDRESS(ROW($D$38)+$A73,D$63+2)),"0.0")&amp;"%)"</f>
        <v>(1.4%)</v>
      </c>
      <c r="F73" s="14" cm="1">
        <f t="array" aca="1" ref="F73" ca="1">INDIRECT(ADDRESS(ROW($D$38)+$A73,F$63))</f>
        <v>1.8759999999999999</v>
      </c>
      <c r="G73" s="13" t="str" cm="1">
        <f t="array" aca="1" ref="G73" ca="1">"("&amp;TEXT(INDIRECT(ADDRESS(ROW($D$38)+$A73,F$63+2)),"0.0")&amp;"%)"</f>
        <v>(1.1%)</v>
      </c>
      <c r="H73" s="14" cm="1">
        <f t="array" aca="1" ref="H73" ca="1">INDIRECT(ADDRESS(ROW($D$38)+$A73,H$63))</f>
        <v>0</v>
      </c>
      <c r="I73" s="13" t="str" cm="1">
        <f t="array" aca="1" ref="I73" ca="1">"("&amp;TEXT(INDIRECT(ADDRESS(ROW($D$38)+$A73,H$63+2)),"0.0")&amp;"%)"</f>
        <v>(0.0%)</v>
      </c>
      <c r="J73" s="14" cm="1">
        <f t="array" aca="1" ref="J73" ca="1">INDIRECT(ADDRESS(ROW($D$38)+$A73,J$63))</f>
        <v>5.3620000000000001</v>
      </c>
      <c r="K73" s="15" t="str" cm="1">
        <f t="array" aca="1" ref="K73" ca="1">"("&amp;TEXT(INDIRECT(ADDRESS(ROW($D$38)+$A73,J$63+2)),"0.0")&amp;"%)"</f>
        <v>(0.6%)</v>
      </c>
      <c r="L73" s="18" cm="1">
        <f t="array" aca="1" ref="L73" ca="1">INDIRECT(ADDRESS(ROW($D$38)+$A73,L$63))</f>
        <v>4.1340000000000003</v>
      </c>
      <c r="M73" s="21" t="str" cm="1">
        <f t="array" aca="1" ref="M73" ca="1">"("&amp;TEXT(INDIRECT(ADDRESS(ROW($D$38)+$A73,L$63+2)),"0.0")&amp;"%)"</f>
        <v>(1.0%)</v>
      </c>
      <c r="N73" s="19" cm="1">
        <f t="array" aca="1" ref="N73" ca="1">INDIRECT(ADDRESS(ROW($D$38)+$A73,N$63))</f>
        <v>1.849</v>
      </c>
      <c r="O73" s="21" t="str" cm="1">
        <f t="array" aca="1" ref="O73" ca="1">"("&amp;TEXT(INDIRECT(ADDRESS(ROW($D$38)+$A73,N$63+2)),"0.0")&amp;"%)"</f>
        <v>(1.4%)</v>
      </c>
      <c r="P73" s="19" cm="1">
        <f t="array" aca="1" ref="P73" ca="1">INDIRECT(ADDRESS(ROW($D$38)+$A73,P$63))</f>
        <v>0</v>
      </c>
      <c r="Q73" s="21" t="str" cm="1">
        <f t="array" aca="1" ref="Q73" ca="1">"("&amp;TEXT(INDIRECT(ADDRESS(ROW($D$38)+$A73,P$63+2)),"0.0")&amp;"%)"</f>
        <v>(0.0%)</v>
      </c>
      <c r="R73" s="19" cm="1">
        <f t="array" aca="1" ref="R73" ca="1">INDIRECT(ADDRESS(ROW($D$38)+$A73,R$63))</f>
        <v>4.6449999999999996</v>
      </c>
      <c r="S73" s="23" t="str" cm="1">
        <f t="array" aca="1" ref="S73" ca="1">"("&amp;TEXT(INDIRECT(ADDRESS(ROW($D$38)+$A73,R$63+2)),"0.0")&amp;"%)"</f>
        <v>(0.2%)</v>
      </c>
      <c r="T73" s="6"/>
    </row>
    <row r="74" spans="1:20" x14ac:dyDescent="0.3">
      <c r="A74" s="1">
        <v>8</v>
      </c>
      <c r="B74" s="6"/>
      <c r="C74" s="6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</row>
    <row r="75" spans="1:20" x14ac:dyDescent="0.3">
      <c r="A75" s="1">
        <v>9</v>
      </c>
      <c r="B75" s="6"/>
      <c r="C75" s="6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</row>
    <row r="76" spans="1:20" x14ac:dyDescent="0.3">
      <c r="A76" s="1">
        <v>10</v>
      </c>
      <c r="B76" s="6"/>
      <c r="C76" s="6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</row>
    <row r="77" spans="1:20" x14ac:dyDescent="0.3">
      <c r="A77" s="1">
        <v>11</v>
      </c>
      <c r="B77" s="6"/>
      <c r="C77" s="6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</row>
    <row r="78" spans="1:20" x14ac:dyDescent="0.3">
      <c r="A78" s="1">
        <v>12</v>
      </c>
      <c r="B78" s="6"/>
      <c r="C78" s="6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</row>
    <row r="79" spans="1:20" x14ac:dyDescent="0.3">
      <c r="A79" s="1">
        <v>13</v>
      </c>
      <c r="B79" s="6"/>
      <c r="C79" s="6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</row>
    <row r="80" spans="1:20" x14ac:dyDescent="0.3">
      <c r="A80" s="1">
        <v>14</v>
      </c>
      <c r="B80" s="6"/>
      <c r="C80" s="6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</row>
    <row r="81" spans="1:20" x14ac:dyDescent="0.3">
      <c r="A81" s="1">
        <v>15</v>
      </c>
      <c r="B81" s="6"/>
      <c r="C81" s="6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</row>
    <row r="82" spans="1:20" x14ac:dyDescent="0.3">
      <c r="A82" s="1">
        <v>16</v>
      </c>
      <c r="B82" s="6"/>
      <c r="C82" s="6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</row>
    <row r="83" spans="1:20" x14ac:dyDescent="0.3">
      <c r="A83" s="1">
        <v>17</v>
      </c>
      <c r="B83" s="6"/>
      <c r="C83" s="6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</row>
    <row r="84" spans="1:20" x14ac:dyDescent="0.3">
      <c r="A84" s="1">
        <v>18</v>
      </c>
      <c r="B84" s="6"/>
      <c r="C84" s="6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</row>
    <row r="85" spans="1:20" x14ac:dyDescent="0.3">
      <c r="A85" s="1">
        <v>19</v>
      </c>
      <c r="B85" s="6"/>
      <c r="C85" s="6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</row>
    <row r="86" spans="1:20" x14ac:dyDescent="0.3">
      <c r="A86" s="1">
        <v>20</v>
      </c>
      <c r="B86" s="6"/>
      <c r="C86" s="6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</row>
    <row r="87" spans="1:20" x14ac:dyDescent="0.3">
      <c r="A87" s="1">
        <v>21</v>
      </c>
      <c r="B87" s="6"/>
      <c r="C87" s="6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</row>
    <row r="88" spans="1:20" x14ac:dyDescent="0.3">
      <c r="A88" s="1">
        <v>22</v>
      </c>
      <c r="B88" s="6"/>
      <c r="C88" s="6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</row>
    <row r="89" spans="1:20" x14ac:dyDescent="0.3">
      <c r="A89" s="1">
        <v>23</v>
      </c>
      <c r="B89" s="6"/>
      <c r="C89" s="6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</row>
    <row r="90" spans="1:20" x14ac:dyDescent="0.3">
      <c r="A90" s="1">
        <v>24</v>
      </c>
      <c r="B90" s="6"/>
      <c r="C90" s="6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</row>
  </sheetData>
  <mergeCells count="8">
    <mergeCell ref="P65:Q65"/>
    <mergeCell ref="R65:S65"/>
    <mergeCell ref="D65:E65"/>
    <mergeCell ref="F65:G65"/>
    <mergeCell ref="H65:I65"/>
    <mergeCell ref="J65:K65"/>
    <mergeCell ref="L65:M65"/>
    <mergeCell ref="N65:O6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F992-565A-304C-AE2A-E51C4367AC2D}">
  <dimension ref="A5:AC90"/>
  <sheetViews>
    <sheetView topLeftCell="A37" workbookViewId="0">
      <selection activeCell="U81" sqref="U81"/>
    </sheetView>
  </sheetViews>
  <sheetFormatPr baseColWidth="10" defaultRowHeight="24" x14ac:dyDescent="0.3"/>
  <cols>
    <col min="1" max="1" width="10.83203125" style="1"/>
    <col min="2" max="2" width="15.5" style="1" customWidth="1"/>
    <col min="3" max="3" width="23.33203125" style="1" customWidth="1"/>
    <col min="4" max="4" width="9.33203125" style="1" customWidth="1"/>
    <col min="5" max="5" width="11.83203125" style="1" customWidth="1"/>
    <col min="6" max="6" width="9.33203125" style="1" customWidth="1"/>
    <col min="7" max="7" width="11.83203125" style="1" customWidth="1"/>
    <col min="8" max="8" width="9.33203125" style="1" customWidth="1"/>
    <col min="9" max="9" width="11.83203125" style="1" customWidth="1"/>
    <col min="10" max="10" width="9.33203125" style="1" customWidth="1"/>
    <col min="11" max="11" width="11.83203125" style="1" customWidth="1"/>
    <col min="12" max="12" width="9.33203125" style="1" customWidth="1"/>
    <col min="13" max="13" width="11.83203125" style="1" customWidth="1"/>
    <col min="14" max="14" width="9.33203125" style="1" customWidth="1"/>
    <col min="15" max="15" width="11.83203125" style="1" customWidth="1"/>
    <col min="16" max="16" width="9.33203125" style="1" customWidth="1"/>
    <col min="17" max="17" width="11.83203125" style="1" customWidth="1"/>
    <col min="18" max="18" width="9.33203125" style="1" customWidth="1"/>
    <col min="19" max="19" width="11.83203125" style="1" customWidth="1"/>
    <col min="20" max="29" width="20.83203125" style="1" customWidth="1"/>
    <col min="30" max="16384" width="10.83203125" style="1"/>
  </cols>
  <sheetData>
    <row r="5" spans="1:29" x14ac:dyDescent="0.3">
      <c r="B5" s="1" t="s">
        <v>141</v>
      </c>
      <c r="C5" s="5">
        <v>26</v>
      </c>
    </row>
    <row r="6" spans="1:29" x14ac:dyDescent="0.3">
      <c r="C6" s="1" t="s">
        <v>142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</row>
    <row r="10" spans="1:29" ht="100" x14ac:dyDescent="0.3">
      <c r="C10" s="4" t="s">
        <v>140</v>
      </c>
      <c r="D10" s="3" t="s">
        <v>137</v>
      </c>
      <c r="G10" s="3" t="s">
        <v>143</v>
      </c>
      <c r="J10" s="3" t="s">
        <v>138</v>
      </c>
      <c r="M10" s="3" t="s">
        <v>144</v>
      </c>
      <c r="P10" s="3" t="s">
        <v>139</v>
      </c>
      <c r="S10" s="3" t="s">
        <v>145</v>
      </c>
      <c r="V10" s="3" t="s">
        <v>147</v>
      </c>
      <c r="Y10" s="3" t="s">
        <v>146</v>
      </c>
      <c r="AB10" s="3"/>
      <c r="AC10" s="3"/>
    </row>
    <row r="11" spans="1:29" x14ac:dyDescent="0.3">
      <c r="A11" s="1">
        <v>0</v>
      </c>
      <c r="C11" s="1" t="str" cm="1">
        <f t="array" aca="1" ref="C11" ca="1">INDIRECT("RawData!A"&amp;TEXT(C$5+A11,"0"))</f>
        <v>Test2/gfortran.x</v>
      </c>
      <c r="D11" s="1" cm="1">
        <f t="array" aca="1" ref="D11" ca="1">INDIRECT("RawData!"&amp;ADDRESS($C$5+$A11,D$6))</f>
        <v>10.481</v>
      </c>
      <c r="E11" s="1" cm="1">
        <f t="array" aca="1" ref="E11" ca="1">INDIRECT("RawData!"&amp;ADDRESS($C$5+$A11,E$6))</f>
        <v>0.62363000000000002</v>
      </c>
      <c r="F11" s="1" cm="1">
        <f t="array" aca="1" ref="F11" ca="1">INDIRECT("RawData!"&amp;ADDRESS($C$5+$A11,F$6))</f>
        <v>9.8610000000000003E-2</v>
      </c>
      <c r="G11" s="1" cm="1">
        <f t="array" aca="1" ref="G11" ca="1">INDIRECT("RawData!"&amp;ADDRESS($C$5+$A11,G$6))</f>
        <v>10.351000000000001</v>
      </c>
      <c r="H11" s="1" cm="1">
        <f t="array" aca="1" ref="H11" ca="1">INDIRECT("RawData!"&amp;ADDRESS($C$5+$A11,H$6))</f>
        <v>0.45646999999999999</v>
      </c>
      <c r="I11" s="1" cm="1">
        <f t="array" aca="1" ref="I11" ca="1">INDIRECT("RawData!"&amp;ADDRESS($C$5+$A11,I$6))</f>
        <v>7.2169999999999998E-2</v>
      </c>
      <c r="J11" s="1" cm="1">
        <f t="array" aca="1" ref="J11" ca="1">INDIRECT("RawData!"&amp;ADDRESS($C$5+$A11,J$6))</f>
        <v>4.1280000000000001</v>
      </c>
      <c r="K11" s="1" cm="1">
        <f t="array" aca="1" ref="K11" ca="1">INDIRECT("RawData!"&amp;ADDRESS($C$5+$A11,K$6))</f>
        <v>0.4178</v>
      </c>
      <c r="L11" s="1" cm="1">
        <f t="array" aca="1" ref="L11" ca="1">INDIRECT("RawData!"&amp;ADDRESS($C$5+$A11,L$6))</f>
        <v>6.6059999999999994E-2</v>
      </c>
      <c r="M11" s="1" cm="1">
        <f t="array" aca="1" ref="M11" ca="1">INDIRECT("RawData!"&amp;ADDRESS($C$5+$A11,M$6))</f>
        <v>3.923</v>
      </c>
      <c r="N11" s="1" cm="1">
        <f t="array" aca="1" ref="N11" ca="1">INDIRECT("RawData!"&amp;ADDRESS($C$5+$A11,N$6))</f>
        <v>0.17252999999999999</v>
      </c>
      <c r="O11" s="1" cm="1">
        <f t="array" aca="1" ref="O11" ca="1">INDIRECT("RawData!"&amp;ADDRESS($C$5+$A11,O$6))</f>
        <v>2.7279999999999999E-2</v>
      </c>
      <c r="P11" s="1" cm="1">
        <f t="array" aca="1" ref="P11" ca="1">INDIRECT("RawData!"&amp;ADDRESS($C$5+$A11,P$6))</f>
        <v>7.9809999999999999</v>
      </c>
      <c r="Q11" s="1" cm="1">
        <f t="array" aca="1" ref="Q11" ca="1">INDIRECT("RawData!"&amp;ADDRESS($C$5+$A11,Q$6))</f>
        <v>0.58182</v>
      </c>
      <c r="R11" s="1" cm="1">
        <f t="array" aca="1" ref="R11" ca="1">INDIRECT("RawData!"&amp;ADDRESS($C$5+$A11,R$6))</f>
        <v>9.1990000000000002E-2</v>
      </c>
      <c r="S11" s="1" cm="1">
        <f t="array" aca="1" ref="S11" ca="1">INDIRECT("RawData!"&amp;ADDRESS($C$5+$A11,S$6))</f>
        <v>8.2669999999999995</v>
      </c>
      <c r="T11" s="1" cm="1">
        <f t="array" aca="1" ref="T11" ca="1">INDIRECT("RawData!"&amp;ADDRESS($C$5+$A11,T$6))</f>
        <v>0.80979000000000001</v>
      </c>
      <c r="U11" s="1" cm="1">
        <f t="array" aca="1" ref="U11" ca="1">INDIRECT("RawData!"&amp;ADDRESS($C$5+$A11,U$6))</f>
        <v>0.12803999999999999</v>
      </c>
      <c r="V11" s="1" cm="1">
        <f t="array" aca="1" ref="V11" ca="1">INDIRECT("RawData!"&amp;ADDRESS($C$5+$A11,V$6))</f>
        <v>9.6999999999999993</v>
      </c>
      <c r="W11" s="1" cm="1">
        <f t="array" aca="1" ref="W11" ca="1">INDIRECT("RawData!"&amp;ADDRESS($C$5+$A11,W$6))</f>
        <v>0.14285</v>
      </c>
      <c r="X11" s="1" cm="1">
        <f t="array" aca="1" ref="X11" ca="1">INDIRECT("RawData!"&amp;ADDRESS($C$5+$A11,X$6))</f>
        <v>2.2589999999999999E-2</v>
      </c>
      <c r="Y11" s="1" cm="1">
        <f t="array" aca="1" ref="Y11" ca="1">INDIRECT("RawData!"&amp;ADDRESS($C$5+$A11,Y$6))</f>
        <v>9.8239999999999998</v>
      </c>
      <c r="Z11" s="1" cm="1">
        <f t="array" aca="1" ref="Z11" ca="1">INDIRECT("RawData!"&amp;ADDRESS($C$5+$A11,Z$6))</f>
        <v>8.9709999999999998E-2</v>
      </c>
      <c r="AA11" s="1" cm="1">
        <f t="array" aca="1" ref="AA11" ca="1">INDIRECT("RawData!"&amp;ADDRESS($C$5+$A11,AA$6))</f>
        <v>1.418E-2</v>
      </c>
    </row>
    <row r="12" spans="1:29" x14ac:dyDescent="0.3">
      <c r="A12" s="1">
        <v>1</v>
      </c>
      <c r="C12" s="1" t="str" cm="1">
        <f t="array" aca="1" ref="C12" ca="1">INDIRECT("RawData!A"&amp;TEXT(C$5+A12,"0"))</f>
        <v>Test2/gfortran_o3.x</v>
      </c>
      <c r="D12" s="1" cm="1">
        <f t="array" aca="1" ref="D12" ca="1">INDIRECT("RawData!"&amp;ADDRESS($C$5+$A12,D$6))</f>
        <v>10.375</v>
      </c>
      <c r="E12" s="1" cm="1">
        <f t="array" aca="1" ref="E12" ca="1">INDIRECT("RawData!"&amp;ADDRESS($C$5+$A12,E$6))</f>
        <v>0.73694999999999999</v>
      </c>
      <c r="F12" s="1" cm="1">
        <f t="array" aca="1" ref="F12" ca="1">INDIRECT("RawData!"&amp;ADDRESS($C$5+$A12,F$6))</f>
        <v>0.11652</v>
      </c>
      <c r="G12" s="1" cm="1">
        <f t="array" aca="1" ref="G12" ca="1">INDIRECT("RawData!"&amp;ADDRESS($C$5+$A12,G$6))</f>
        <v>9.9039999999999999</v>
      </c>
      <c r="H12" s="1" cm="1">
        <f t="array" aca="1" ref="H12" ca="1">INDIRECT("RawData!"&amp;ADDRESS($C$5+$A12,H$6))</f>
        <v>0.59662000000000004</v>
      </c>
      <c r="I12" s="1" cm="1">
        <f t="array" aca="1" ref="I12" ca="1">INDIRECT("RawData!"&amp;ADDRESS($C$5+$A12,I$6))</f>
        <v>9.4329999999999997E-2</v>
      </c>
      <c r="J12" s="1" cm="1">
        <f t="array" aca="1" ref="J12" ca="1">INDIRECT("RawData!"&amp;ADDRESS($C$5+$A12,J$6))</f>
        <v>3.7549999999999999</v>
      </c>
      <c r="K12" s="1" cm="1">
        <f t="array" aca="1" ref="K12" ca="1">INDIRECT("RawData!"&amp;ADDRESS($C$5+$A12,K$6))</f>
        <v>0.18453</v>
      </c>
      <c r="L12" s="1" cm="1">
        <f t="array" aca="1" ref="L12" ca="1">INDIRECT("RawData!"&amp;ADDRESS($C$5+$A12,L$6))</f>
        <v>2.9180000000000001E-2</v>
      </c>
      <c r="M12" s="1" cm="1">
        <f t="array" aca="1" ref="M12" ca="1">INDIRECT("RawData!"&amp;ADDRESS($C$5+$A12,M$6))</f>
        <v>3.6960000000000002</v>
      </c>
      <c r="N12" s="1" cm="1">
        <f t="array" aca="1" ref="N12" ca="1">INDIRECT("RawData!"&amp;ADDRESS($C$5+$A12,N$6))</f>
        <v>0.24137</v>
      </c>
      <c r="O12" s="1" cm="1">
        <f t="array" aca="1" ref="O12" ca="1">INDIRECT("RawData!"&amp;ADDRESS($C$5+$A12,O$6))</f>
        <v>3.8159999999999999E-2</v>
      </c>
      <c r="P12" s="1" cm="1">
        <f t="array" aca="1" ref="P12" ca="1">INDIRECT("RawData!"&amp;ADDRESS($C$5+$A12,P$6))</f>
        <v>5.6849999999999996</v>
      </c>
      <c r="Q12" s="1" cm="1">
        <f t="array" aca="1" ref="Q12" ca="1">INDIRECT("RawData!"&amp;ADDRESS($C$5+$A12,Q$6))</f>
        <v>1.3276300000000001</v>
      </c>
      <c r="R12" s="1" cm="1">
        <f t="array" aca="1" ref="R12" ca="1">INDIRECT("RawData!"&amp;ADDRESS($C$5+$A12,R$6))</f>
        <v>0.20992</v>
      </c>
      <c r="S12" s="1" cm="1">
        <f t="array" aca="1" ref="S12" ca="1">INDIRECT("RawData!"&amp;ADDRESS($C$5+$A12,S$6))</f>
        <v>6.7009999999999996</v>
      </c>
      <c r="T12" s="1" cm="1">
        <f t="array" aca="1" ref="T12" ca="1">INDIRECT("RawData!"&amp;ADDRESS($C$5+$A12,T$6))</f>
        <v>1.1868399999999999</v>
      </c>
      <c r="U12" s="1" cm="1">
        <f t="array" aca="1" ref="U12" ca="1">INDIRECT("RawData!"&amp;ADDRESS($C$5+$A12,U$6))</f>
        <v>0.18765999999999999</v>
      </c>
      <c r="V12" s="1" cm="1">
        <f t="array" aca="1" ref="V12" ca="1">INDIRECT("RawData!"&amp;ADDRESS($C$5+$A12,V$6))</f>
        <v>8.7129999999999992</v>
      </c>
      <c r="W12" s="1" cm="1">
        <f t="array" aca="1" ref="W12" ca="1">INDIRECT("RawData!"&amp;ADDRESS($C$5+$A12,W$6))</f>
        <v>8.8770000000000002E-2</v>
      </c>
      <c r="X12" s="1" cm="1">
        <f t="array" aca="1" ref="X12" ca="1">INDIRECT("RawData!"&amp;ADDRESS($C$5+$A12,X$6))</f>
        <v>1.404E-2</v>
      </c>
      <c r="Y12" s="1" cm="1">
        <f t="array" aca="1" ref="Y12" ca="1">INDIRECT("RawData!"&amp;ADDRESS($C$5+$A12,Y$6))</f>
        <v>8.0730000000000004</v>
      </c>
      <c r="Z12" s="1" cm="1">
        <f t="array" aca="1" ref="Z12" ca="1">INDIRECT("RawData!"&amp;ADDRESS($C$5+$A12,Z$6))</f>
        <v>0.12407</v>
      </c>
      <c r="AA12" s="1" cm="1">
        <f t="array" aca="1" ref="AA12" ca="1">INDIRECT("RawData!"&amp;ADDRESS($C$5+$A12,AA$6))</f>
        <v>1.9619999999999999E-2</v>
      </c>
    </row>
    <row r="13" spans="1:29" x14ac:dyDescent="0.3">
      <c r="A13" s="1">
        <v>2</v>
      </c>
      <c r="C13" s="1" t="str" cm="1">
        <f t="array" aca="1" ref="C13" ca="1">INDIRECT("RawData!A"&amp;TEXT(C$5+A13,"0"))</f>
        <v>Test2/gfortran_w_lu2.x</v>
      </c>
      <c r="D13" s="1" cm="1">
        <f t="array" aca="1" ref="D13" ca="1">INDIRECT("RawData!"&amp;ADDRESS($C$5+$A13,D$6))</f>
        <v>10.412000000000001</v>
      </c>
      <c r="E13" s="1" cm="1">
        <f t="array" aca="1" ref="E13" ca="1">INDIRECT("RawData!"&amp;ADDRESS($C$5+$A13,E$6))</f>
        <v>0.76173999999999997</v>
      </c>
      <c r="F13" s="1" cm="1">
        <f t="array" aca="1" ref="F13" ca="1">INDIRECT("RawData!"&amp;ADDRESS($C$5+$A13,F$6))</f>
        <v>0.12044000000000001</v>
      </c>
      <c r="G13" s="1" cm="1">
        <f t="array" aca="1" ref="G13" ca="1">INDIRECT("RawData!"&amp;ADDRESS($C$5+$A13,G$6))</f>
        <v>10.52</v>
      </c>
      <c r="H13" s="1" cm="1">
        <f t="array" aca="1" ref="H13" ca="1">INDIRECT("RawData!"&amp;ADDRESS($C$5+$A13,H$6))</f>
        <v>0.69318000000000002</v>
      </c>
      <c r="I13" s="1" cm="1">
        <f t="array" aca="1" ref="I13" ca="1">INDIRECT("RawData!"&amp;ADDRESS($C$5+$A13,I$6))</f>
        <v>0.1096</v>
      </c>
      <c r="J13" s="1" cm="1">
        <f t="array" aca="1" ref="J13" ca="1">INDIRECT("RawData!"&amp;ADDRESS($C$5+$A13,J$6))</f>
        <v>3.722</v>
      </c>
      <c r="K13" s="1" cm="1">
        <f t="array" aca="1" ref="K13" ca="1">INDIRECT("RawData!"&amp;ADDRESS($C$5+$A13,K$6))</f>
        <v>0.22284999999999999</v>
      </c>
      <c r="L13" s="1" cm="1">
        <f t="array" aca="1" ref="L13" ca="1">INDIRECT("RawData!"&amp;ADDRESS($C$5+$A13,L$6))</f>
        <v>3.524E-2</v>
      </c>
      <c r="M13" s="1" cm="1">
        <f t="array" aca="1" ref="M13" ca="1">INDIRECT("RawData!"&amp;ADDRESS($C$5+$A13,M$6))</f>
        <v>3.6659999999999999</v>
      </c>
      <c r="N13" s="1" cm="1">
        <f t="array" aca="1" ref="N13" ca="1">INDIRECT("RawData!"&amp;ADDRESS($C$5+$A13,N$6))</f>
        <v>0.19320999999999999</v>
      </c>
      <c r="O13" s="1" cm="1">
        <f t="array" aca="1" ref="O13" ca="1">INDIRECT("RawData!"&amp;ADDRESS($C$5+$A13,O$6))</f>
        <v>3.0550000000000001E-2</v>
      </c>
      <c r="P13" s="1" cm="1">
        <f t="array" aca="1" ref="P13" ca="1">INDIRECT("RawData!"&amp;ADDRESS($C$5+$A13,P$6))</f>
        <v>6.2569999999999997</v>
      </c>
      <c r="Q13" s="1" cm="1">
        <f t="array" aca="1" ref="Q13" ca="1">INDIRECT("RawData!"&amp;ADDRESS($C$5+$A13,Q$6))</f>
        <v>0.72955999999999999</v>
      </c>
      <c r="R13" s="1" cm="1">
        <f t="array" aca="1" ref="R13" ca="1">INDIRECT("RawData!"&amp;ADDRESS($C$5+$A13,R$6))</f>
        <v>0.11534999999999999</v>
      </c>
      <c r="S13" s="1" cm="1">
        <f t="array" aca="1" ref="S13" ca="1">INDIRECT("RawData!"&amp;ADDRESS($C$5+$A13,S$6))</f>
        <v>6.4560000000000004</v>
      </c>
      <c r="T13" s="1" cm="1">
        <f t="array" aca="1" ref="T13" ca="1">INDIRECT("RawData!"&amp;ADDRESS($C$5+$A13,T$6))</f>
        <v>0.84743000000000002</v>
      </c>
      <c r="U13" s="1" cm="1">
        <f t="array" aca="1" ref="U13" ca="1">INDIRECT("RawData!"&amp;ADDRESS($C$5+$A13,U$6))</f>
        <v>0.13399</v>
      </c>
      <c r="V13" s="1" cm="1">
        <f t="array" aca="1" ref="V13" ca="1">INDIRECT("RawData!"&amp;ADDRESS($C$5+$A13,V$6))</f>
        <v>8.6809999999999992</v>
      </c>
      <c r="W13" s="1" cm="1">
        <f t="array" aca="1" ref="W13" ca="1">INDIRECT("RawData!"&amp;ADDRESS($C$5+$A13,W$6))</f>
        <v>0.10245</v>
      </c>
      <c r="X13" s="1" cm="1">
        <f t="array" aca="1" ref="X13" ca="1">INDIRECT("RawData!"&amp;ADDRESS($C$5+$A13,X$6))</f>
        <v>1.6199999999999999E-2</v>
      </c>
      <c r="Y13" s="1" cm="1">
        <f t="array" aca="1" ref="Y13" ca="1">INDIRECT("RawData!"&amp;ADDRESS($C$5+$A13,Y$6))</f>
        <v>8.5589999999999993</v>
      </c>
      <c r="Z13" s="1" cm="1">
        <f t="array" aca="1" ref="Z13" ca="1">INDIRECT("RawData!"&amp;ADDRESS($C$5+$A13,Z$6))</f>
        <v>0.1103</v>
      </c>
      <c r="AA13" s="1" cm="1">
        <f t="array" aca="1" ref="AA13" ca="1">INDIRECT("RawData!"&amp;ADDRESS($C$5+$A13,AA$6))</f>
        <v>1.7440000000000001E-2</v>
      </c>
    </row>
    <row r="14" spans="1:29" x14ac:dyDescent="0.3">
      <c r="A14" s="1">
        <v>3</v>
      </c>
      <c r="C14" s="1" t="str" cm="1">
        <f t="array" aca="1" ref="C14" ca="1">INDIRECT("RawData!A"&amp;TEXT(C$5+A14,"0"))</f>
        <v>Test2/gfortran_w_lu2_o3.x</v>
      </c>
      <c r="D14" s="1" cm="1">
        <f t="array" aca="1" ref="D14" ca="1">INDIRECT("RawData!"&amp;ADDRESS($C$5+$A14,D$6))</f>
        <v>10.654</v>
      </c>
      <c r="E14" s="1" cm="1">
        <f t="array" aca="1" ref="E14" ca="1">INDIRECT("RawData!"&amp;ADDRESS($C$5+$A14,E$6))</f>
        <v>1.5806</v>
      </c>
      <c r="F14" s="1" cm="1">
        <f t="array" aca="1" ref="F14" ca="1">INDIRECT("RawData!"&amp;ADDRESS($C$5+$A14,F$6))</f>
        <v>0.24990999999999999</v>
      </c>
      <c r="G14" s="1" cm="1">
        <f t="array" aca="1" ref="G14" ca="1">INDIRECT("RawData!"&amp;ADDRESS($C$5+$A14,G$6))</f>
        <v>9.9380000000000006</v>
      </c>
      <c r="H14" s="1" cm="1">
        <f t="array" aca="1" ref="H14" ca="1">INDIRECT("RawData!"&amp;ADDRESS($C$5+$A14,H$6))</f>
        <v>0.71218000000000004</v>
      </c>
      <c r="I14" s="1" cm="1">
        <f t="array" aca="1" ref="I14" ca="1">INDIRECT("RawData!"&amp;ADDRESS($C$5+$A14,I$6))</f>
        <v>0.11261</v>
      </c>
      <c r="J14" s="1" cm="1">
        <f t="array" aca="1" ref="J14" ca="1">INDIRECT("RawData!"&amp;ADDRESS($C$5+$A14,J$6))</f>
        <v>3.72</v>
      </c>
      <c r="K14" s="1" cm="1">
        <f t="array" aca="1" ref="K14" ca="1">INDIRECT("RawData!"&amp;ADDRESS($C$5+$A14,K$6))</f>
        <v>0.12421</v>
      </c>
      <c r="L14" s="1" cm="1">
        <f t="array" aca="1" ref="L14" ca="1">INDIRECT("RawData!"&amp;ADDRESS($C$5+$A14,L$6))</f>
        <v>1.9640000000000001E-2</v>
      </c>
      <c r="M14" s="1" cm="1">
        <f t="array" aca="1" ref="M14" ca="1">INDIRECT("RawData!"&amp;ADDRESS($C$5+$A14,M$6))</f>
        <v>3.6349999999999998</v>
      </c>
      <c r="N14" s="1" cm="1">
        <f t="array" aca="1" ref="N14" ca="1">INDIRECT("RawData!"&amp;ADDRESS($C$5+$A14,N$6))</f>
        <v>0.21088999999999999</v>
      </c>
      <c r="O14" s="1" cm="1">
        <f t="array" aca="1" ref="O14" ca="1">INDIRECT("RawData!"&amp;ADDRESS($C$5+$A14,O$6))</f>
        <v>3.3349999999999998E-2</v>
      </c>
      <c r="P14" s="1" cm="1">
        <f t="array" aca="1" ref="P14" ca="1">INDIRECT("RawData!"&amp;ADDRESS($C$5+$A14,P$6))</f>
        <v>5.5380000000000003</v>
      </c>
      <c r="Q14" s="1" cm="1">
        <f t="array" aca="1" ref="Q14" ca="1">INDIRECT("RawData!"&amp;ADDRESS($C$5+$A14,Q$6))</f>
        <v>1.2208000000000001</v>
      </c>
      <c r="R14" s="1" cm="1">
        <f t="array" aca="1" ref="R14" ca="1">INDIRECT("RawData!"&amp;ADDRESS($C$5+$A14,R$6))</f>
        <v>0.19303000000000001</v>
      </c>
      <c r="S14" s="1" cm="1">
        <f t="array" aca="1" ref="S14" ca="1">INDIRECT("RawData!"&amp;ADDRESS($C$5+$A14,S$6))</f>
        <v>6.2210000000000001</v>
      </c>
      <c r="T14" s="1" cm="1">
        <f t="array" aca="1" ref="T14" ca="1">INDIRECT("RawData!"&amp;ADDRESS($C$5+$A14,T$6))</f>
        <v>0.61212999999999995</v>
      </c>
      <c r="U14" s="1" cm="1">
        <f t="array" aca="1" ref="U14" ca="1">INDIRECT("RawData!"&amp;ADDRESS($C$5+$A14,U$6))</f>
        <v>9.6790000000000001E-2</v>
      </c>
      <c r="V14" s="1" cm="1">
        <f t="array" aca="1" ref="V14" ca="1">INDIRECT("RawData!"&amp;ADDRESS($C$5+$A14,V$6))</f>
        <v>8.7029999999999994</v>
      </c>
      <c r="W14" s="1" cm="1">
        <f t="array" aca="1" ref="W14" ca="1">INDIRECT("RawData!"&amp;ADDRESS($C$5+$A14,W$6))</f>
        <v>7.4840000000000004E-2</v>
      </c>
      <c r="X14" s="1" cm="1">
        <f t="array" aca="1" ref="X14" ca="1">INDIRECT("RawData!"&amp;ADDRESS($C$5+$A14,X$6))</f>
        <v>1.183E-2</v>
      </c>
      <c r="Y14" s="1" cm="1">
        <f t="array" aca="1" ref="Y14" ca="1">INDIRECT("RawData!"&amp;ADDRESS($C$5+$A14,Y$6))</f>
        <v>8.06</v>
      </c>
      <c r="Z14" s="1" cm="1">
        <f t="array" aca="1" ref="Z14" ca="1">INDIRECT("RawData!"&amp;ADDRESS($C$5+$A14,Z$6))</f>
        <v>0.13569000000000001</v>
      </c>
      <c r="AA14" s="1" cm="1">
        <f t="array" aca="1" ref="AA14" ca="1">INDIRECT("RawData!"&amp;ADDRESS($C$5+$A14,AA$6))</f>
        <v>2.145E-2</v>
      </c>
    </row>
    <row r="15" spans="1:29" x14ac:dyDescent="0.3">
      <c r="A15" s="1">
        <v>4</v>
      </c>
      <c r="C15" s="1" t="str" cm="1">
        <f t="array" aca="1" ref="C15" ca="1">INDIRECT("RawData!A"&amp;TEXT(C$5+A15,"0"))</f>
        <v>Test2/gfortran_w_lu4.x</v>
      </c>
      <c r="D15" s="1" cm="1">
        <f t="array" aca="1" ref="D15" ca="1">INDIRECT("RawData!"&amp;ADDRESS($C$5+$A15,D$6))</f>
        <v>10.273</v>
      </c>
      <c r="E15" s="1" cm="1">
        <f t="array" aca="1" ref="E15" ca="1">INDIRECT("RawData!"&amp;ADDRESS($C$5+$A15,E$6))</f>
        <v>0.71638000000000002</v>
      </c>
      <c r="F15" s="1" cm="1">
        <f t="array" aca="1" ref="F15" ca="1">INDIRECT("RawData!"&amp;ADDRESS($C$5+$A15,F$6))</f>
        <v>0.11327</v>
      </c>
      <c r="G15" s="1" cm="1">
        <f t="array" aca="1" ref="G15" ca="1">INDIRECT("RawData!"&amp;ADDRESS($C$5+$A15,G$6))</f>
        <v>10.316000000000001</v>
      </c>
      <c r="H15" s="1" cm="1">
        <f t="array" aca="1" ref="H15" ca="1">INDIRECT("RawData!"&amp;ADDRESS($C$5+$A15,H$6))</f>
        <v>0.71025000000000005</v>
      </c>
      <c r="I15" s="1" cm="1">
        <f t="array" aca="1" ref="I15" ca="1">INDIRECT("RawData!"&amp;ADDRESS($C$5+$A15,I$6))</f>
        <v>0.1123</v>
      </c>
      <c r="J15" s="1" cm="1">
        <f t="array" aca="1" ref="J15" ca="1">INDIRECT("RawData!"&amp;ADDRESS($C$5+$A15,J$6))</f>
        <v>3.6779999999999999</v>
      </c>
      <c r="K15" s="1" cm="1">
        <f t="array" aca="1" ref="K15" ca="1">INDIRECT("RawData!"&amp;ADDRESS($C$5+$A15,K$6))</f>
        <v>0.14516999999999999</v>
      </c>
      <c r="L15" s="1" cm="1">
        <f t="array" aca="1" ref="L15" ca="1">INDIRECT("RawData!"&amp;ADDRESS($C$5+$A15,L$6))</f>
        <v>2.2950000000000002E-2</v>
      </c>
      <c r="M15" s="1" cm="1">
        <f t="array" aca="1" ref="M15" ca="1">INDIRECT("RawData!"&amp;ADDRESS($C$5+$A15,M$6))</f>
        <v>3.6779999999999999</v>
      </c>
      <c r="N15" s="1" cm="1">
        <f t="array" aca="1" ref="N15" ca="1">INDIRECT("RawData!"&amp;ADDRESS($C$5+$A15,N$6))</f>
        <v>0.20460999999999999</v>
      </c>
      <c r="O15" s="1" cm="1">
        <f t="array" aca="1" ref="O15" ca="1">INDIRECT("RawData!"&amp;ADDRESS($C$5+$A15,O$6))</f>
        <v>3.2349999999999997E-2</v>
      </c>
      <c r="P15" s="1" cm="1">
        <f t="array" aca="1" ref="P15" ca="1">INDIRECT("RawData!"&amp;ADDRESS($C$5+$A15,P$6))</f>
        <v>6.1920000000000002</v>
      </c>
      <c r="Q15" s="1" cm="1">
        <f t="array" aca="1" ref="Q15" ca="1">INDIRECT("RawData!"&amp;ADDRESS($C$5+$A15,Q$6))</f>
        <v>0.90186999999999995</v>
      </c>
      <c r="R15" s="1" cm="1">
        <f t="array" aca="1" ref="R15" ca="1">INDIRECT("RawData!"&amp;ADDRESS($C$5+$A15,R$6))</f>
        <v>0.1426</v>
      </c>
      <c r="S15" s="1" cm="1">
        <f t="array" aca="1" ref="S15" ca="1">INDIRECT("RawData!"&amp;ADDRESS($C$5+$A15,S$6))</f>
        <v>5.2679999999999998</v>
      </c>
      <c r="T15" s="1" cm="1">
        <f t="array" aca="1" ref="T15" ca="1">INDIRECT("RawData!"&amp;ADDRESS($C$5+$A15,T$6))</f>
        <v>0.91625999999999996</v>
      </c>
      <c r="U15" s="1" cm="1">
        <f t="array" aca="1" ref="U15" ca="1">INDIRECT("RawData!"&amp;ADDRESS($C$5+$A15,U$6))</f>
        <v>0.14487</v>
      </c>
      <c r="V15" s="1" cm="1">
        <f t="array" aca="1" ref="V15" ca="1">INDIRECT("RawData!"&amp;ADDRESS($C$5+$A15,V$6))</f>
        <v>8.6329999999999991</v>
      </c>
      <c r="W15" s="1" cm="1">
        <f t="array" aca="1" ref="W15" ca="1">INDIRECT("RawData!"&amp;ADDRESS($C$5+$A15,W$6))</f>
        <v>6.6019999999999995E-2</v>
      </c>
      <c r="X15" s="1" cm="1">
        <f t="array" aca="1" ref="X15" ca="1">INDIRECT("RawData!"&amp;ADDRESS($C$5+$A15,X$6))</f>
        <v>1.044E-2</v>
      </c>
      <c r="Y15" s="1" cm="1">
        <f t="array" aca="1" ref="Y15" ca="1">INDIRECT("RawData!"&amp;ADDRESS($C$5+$A15,Y$6))</f>
        <v>8.0760000000000005</v>
      </c>
      <c r="Z15" s="1" cm="1">
        <f t="array" aca="1" ref="Z15" ca="1">INDIRECT("RawData!"&amp;ADDRESS($C$5+$A15,Z$6))</f>
        <v>5.935E-2</v>
      </c>
      <c r="AA15" s="1" cm="1">
        <f t="array" aca="1" ref="AA15" ca="1">INDIRECT("RawData!"&amp;ADDRESS($C$5+$A15,AA$6))</f>
        <v>9.3799999999999994E-3</v>
      </c>
    </row>
    <row r="16" spans="1:29" x14ac:dyDescent="0.3">
      <c r="A16" s="1">
        <v>5</v>
      </c>
      <c r="C16" s="1" t="str" cm="1">
        <f t="array" aca="1" ref="C16" ca="1">INDIRECT("RawData!A"&amp;TEXT(C$5+A16,"0"))</f>
        <v>Test2/gfortran_w_lu8.x</v>
      </c>
      <c r="D16" s="1" cm="1">
        <f t="array" aca="1" ref="D16" ca="1">INDIRECT("RawData!"&amp;ADDRESS($C$5+$A16,D$6))</f>
        <v>10.395</v>
      </c>
      <c r="E16" s="1" cm="1">
        <f t="array" aca="1" ref="E16" ca="1">INDIRECT("RawData!"&amp;ADDRESS($C$5+$A16,E$6))</f>
        <v>0.65476999999999996</v>
      </c>
      <c r="F16" s="1" cm="1">
        <f t="array" aca="1" ref="F16" ca="1">INDIRECT("RawData!"&amp;ADDRESS($C$5+$A16,F$6))</f>
        <v>0.10353</v>
      </c>
      <c r="G16" s="1" cm="1">
        <f t="array" aca="1" ref="G16" ca="1">INDIRECT("RawData!"&amp;ADDRESS($C$5+$A16,G$6))</f>
        <v>10.108000000000001</v>
      </c>
      <c r="H16" s="1" cm="1">
        <f t="array" aca="1" ref="H16" ca="1">INDIRECT("RawData!"&amp;ADDRESS($C$5+$A16,H$6))</f>
        <v>0.57628000000000001</v>
      </c>
      <c r="I16" s="1" cm="1">
        <f t="array" aca="1" ref="I16" ca="1">INDIRECT("RawData!"&amp;ADDRESS($C$5+$A16,I$6))</f>
        <v>9.1120000000000007E-2</v>
      </c>
      <c r="J16" s="1" cm="1">
        <f t="array" aca="1" ref="J16" ca="1">INDIRECT("RawData!"&amp;ADDRESS($C$5+$A16,J$6))</f>
        <v>3.6960000000000002</v>
      </c>
      <c r="K16" s="1" cm="1">
        <f t="array" aca="1" ref="K16" ca="1">INDIRECT("RawData!"&amp;ADDRESS($C$5+$A16,K$6))</f>
        <v>0.26717999999999997</v>
      </c>
      <c r="L16" s="1" cm="1">
        <f t="array" aca="1" ref="L16" ca="1">INDIRECT("RawData!"&amp;ADDRESS($C$5+$A16,L$6))</f>
        <v>4.2250000000000003E-2</v>
      </c>
      <c r="M16" s="1" cm="1">
        <f t="array" aca="1" ref="M16" ca="1">INDIRECT("RawData!"&amp;ADDRESS($C$5+$A16,M$6))</f>
        <v>3.669</v>
      </c>
      <c r="N16" s="1" cm="1">
        <f t="array" aca="1" ref="N16" ca="1">INDIRECT("RawData!"&amp;ADDRESS($C$5+$A16,N$6))</f>
        <v>0.16458999999999999</v>
      </c>
      <c r="O16" s="1" cm="1">
        <f t="array" aca="1" ref="O16" ca="1">INDIRECT("RawData!"&amp;ADDRESS($C$5+$A16,O$6))</f>
        <v>2.6020000000000001E-2</v>
      </c>
      <c r="P16" s="1" cm="1">
        <f t="array" aca="1" ref="P16" ca="1">INDIRECT("RawData!"&amp;ADDRESS($C$5+$A16,P$6))</f>
        <v>3.548</v>
      </c>
      <c r="Q16" s="1" cm="1">
        <f t="array" aca="1" ref="Q16" ca="1">INDIRECT("RawData!"&amp;ADDRESS($C$5+$A16,Q$6))</f>
        <v>1.06366</v>
      </c>
      <c r="R16" s="1" cm="1">
        <f t="array" aca="1" ref="R16" ca="1">INDIRECT("RawData!"&amp;ADDRESS($C$5+$A16,R$6))</f>
        <v>0.16818</v>
      </c>
      <c r="S16" s="1" cm="1">
        <f t="array" aca="1" ref="S16" ca="1">INDIRECT("RawData!"&amp;ADDRESS($C$5+$A16,S$6))</f>
        <v>5.3730000000000002</v>
      </c>
      <c r="T16" s="1" cm="1">
        <f t="array" aca="1" ref="T16" ca="1">INDIRECT("RawData!"&amp;ADDRESS($C$5+$A16,T$6))</f>
        <v>0.63026000000000004</v>
      </c>
      <c r="U16" s="1" cm="1">
        <f t="array" aca="1" ref="U16" ca="1">INDIRECT("RawData!"&amp;ADDRESS($C$5+$A16,U$6))</f>
        <v>9.9650000000000002E-2</v>
      </c>
      <c r="V16" s="1" cm="1">
        <f t="array" aca="1" ref="V16" ca="1">INDIRECT("RawData!"&amp;ADDRESS($C$5+$A16,V$6))</f>
        <v>8.8190000000000008</v>
      </c>
      <c r="W16" s="1" cm="1">
        <f t="array" aca="1" ref="W16" ca="1">INDIRECT("RawData!"&amp;ADDRESS($C$5+$A16,W$6))</f>
        <v>0.15776999999999999</v>
      </c>
      <c r="X16" s="1" cm="1">
        <f t="array" aca="1" ref="X16" ca="1">INDIRECT("RawData!"&amp;ADDRESS($C$5+$A16,X$6))</f>
        <v>2.495E-2</v>
      </c>
      <c r="Y16" s="1" cm="1">
        <f t="array" aca="1" ref="Y16" ca="1">INDIRECT("RawData!"&amp;ADDRESS($C$5+$A16,Y$6))</f>
        <v>8.4640000000000004</v>
      </c>
      <c r="Z16" s="1" cm="1">
        <f t="array" aca="1" ref="Z16" ca="1">INDIRECT("RawData!"&amp;ADDRESS($C$5+$A16,Z$6))</f>
        <v>0.12472</v>
      </c>
      <c r="AA16" s="1" cm="1">
        <f t="array" aca="1" ref="AA16" ca="1">INDIRECT("RawData!"&amp;ADDRESS($C$5+$A16,AA$6))</f>
        <v>1.9720000000000001E-2</v>
      </c>
    </row>
    <row r="17" spans="1:27" x14ac:dyDescent="0.3">
      <c r="A17" s="1">
        <v>6</v>
      </c>
      <c r="C17" s="1" t="str" cm="1">
        <f t="array" aca="1" ref="C17" ca="1">INDIRECT("RawData!A"&amp;TEXT(C$5+A17,"0"))</f>
        <v>Test2/ifx.x</v>
      </c>
      <c r="D17" s="1" cm="1">
        <f t="array" aca="1" ref="D17" ca="1">INDIRECT("RawData!"&amp;ADDRESS($C$5+$A17,D$6))</f>
        <v>10.15</v>
      </c>
      <c r="E17" s="1" cm="1">
        <f t="array" aca="1" ref="E17" ca="1">INDIRECT("RawData!"&amp;ADDRESS($C$5+$A17,E$6))</f>
        <v>1.29199</v>
      </c>
      <c r="F17" s="1" cm="1">
        <f t="array" aca="1" ref="F17" ca="1">INDIRECT("RawData!"&amp;ADDRESS($C$5+$A17,F$6))</f>
        <v>0.20427999999999999</v>
      </c>
      <c r="G17" s="1" cm="1">
        <f t="array" aca="1" ref="G17" ca="1">INDIRECT("RawData!"&amp;ADDRESS($C$5+$A17,G$6))</f>
        <v>9.4250000000000007</v>
      </c>
      <c r="H17" s="1" cm="1">
        <f t="array" aca="1" ref="H17" ca="1">INDIRECT("RawData!"&amp;ADDRESS($C$5+$A17,H$6))</f>
        <v>1.63123</v>
      </c>
      <c r="I17" s="1" cm="1">
        <f t="array" aca="1" ref="I17" ca="1">INDIRECT("RawData!"&amp;ADDRESS($C$5+$A17,I$6))</f>
        <v>0.25791999999999998</v>
      </c>
      <c r="J17" s="1" cm="1">
        <f t="array" aca="1" ref="J17" ca="1">INDIRECT("RawData!"&amp;ADDRESS($C$5+$A17,J$6))</f>
        <v>3.7450000000000001</v>
      </c>
      <c r="K17" s="1" cm="1">
        <f t="array" aca="1" ref="K17" ca="1">INDIRECT("RawData!"&amp;ADDRESS($C$5+$A17,K$6))</f>
        <v>0.16466</v>
      </c>
      <c r="L17" s="1" cm="1">
        <f t="array" aca="1" ref="L17" ca="1">INDIRECT("RawData!"&amp;ADDRESS($C$5+$A17,L$6))</f>
        <v>2.6030000000000001E-2</v>
      </c>
      <c r="M17" s="1" cm="1">
        <f t="array" aca="1" ref="M17" ca="1">INDIRECT("RawData!"&amp;ADDRESS($C$5+$A17,M$6))</f>
        <v>3.661</v>
      </c>
      <c r="N17" s="1" cm="1">
        <f t="array" aca="1" ref="N17" ca="1">INDIRECT("RawData!"&amp;ADDRESS($C$5+$A17,N$6))</f>
        <v>0.14918999999999999</v>
      </c>
      <c r="O17" s="1" cm="1">
        <f t="array" aca="1" ref="O17" ca="1">INDIRECT("RawData!"&amp;ADDRESS($C$5+$A17,O$6))</f>
        <v>2.359E-2</v>
      </c>
      <c r="P17" s="1" cm="1">
        <f t="array" aca="1" ref="P17" ca="1">INDIRECT("RawData!"&amp;ADDRESS($C$5+$A17,P$6))</f>
        <v>0</v>
      </c>
      <c r="Q17" s="1" cm="1">
        <f t="array" aca="1" ref="Q17" ca="1">INDIRECT("RawData!"&amp;ADDRESS($C$5+$A17,Q$6))</f>
        <v>0</v>
      </c>
      <c r="R17" s="1" cm="1">
        <f t="array" aca="1" ref="R17" ca="1">INDIRECT("RawData!"&amp;ADDRESS($C$5+$A17,R$6))</f>
        <v>0</v>
      </c>
      <c r="S17" s="1" cm="1">
        <f t="array" aca="1" ref="S17" ca="1">INDIRECT("RawData!"&amp;ADDRESS($C$5+$A17,S$6))</f>
        <v>0</v>
      </c>
      <c r="T17" s="1" cm="1">
        <f t="array" aca="1" ref="T17" ca="1">INDIRECT("RawData!"&amp;ADDRESS($C$5+$A17,T$6))</f>
        <v>0</v>
      </c>
      <c r="U17" s="1" cm="1">
        <f t="array" aca="1" ref="U17" ca="1">INDIRECT("RawData!"&amp;ADDRESS($C$5+$A17,U$6))</f>
        <v>0</v>
      </c>
      <c r="V17" s="1" cm="1">
        <f t="array" aca="1" ref="V17" ca="1">INDIRECT("RawData!"&amp;ADDRESS($C$5+$A17,V$6))</f>
        <v>9.1920000000000002</v>
      </c>
      <c r="W17" s="1" cm="1">
        <f t="array" aca="1" ref="W17" ca="1">INDIRECT("RawData!"&amp;ADDRESS($C$5+$A17,W$6))</f>
        <v>9.6829999999999999E-2</v>
      </c>
      <c r="X17" s="1" cm="1">
        <f t="array" aca="1" ref="X17" ca="1">INDIRECT("RawData!"&amp;ADDRESS($C$5+$A17,X$6))</f>
        <v>1.5310000000000001E-2</v>
      </c>
      <c r="Y17" s="1" cm="1">
        <f t="array" aca="1" ref="Y17" ca="1">INDIRECT("RawData!"&amp;ADDRESS($C$5+$A17,Y$6))</f>
        <v>8.0449999999999999</v>
      </c>
      <c r="Z17" s="1" cm="1">
        <f t="array" aca="1" ref="Z17" ca="1">INDIRECT("RawData!"&amp;ADDRESS($C$5+$A17,Z$6))</f>
        <v>6.9940000000000002E-2</v>
      </c>
      <c r="AA17" s="1" cm="1">
        <f t="array" aca="1" ref="AA17" ca="1">INDIRECT("RawData!"&amp;ADDRESS($C$5+$A17,AA$6))</f>
        <v>1.106E-2</v>
      </c>
    </row>
    <row r="18" spans="1:27" x14ac:dyDescent="0.3">
      <c r="A18" s="1">
        <v>7</v>
      </c>
      <c r="C18" s="1" t="str" cm="1">
        <f t="array" aca="1" ref="C18" ca="1">INDIRECT("RawData!A"&amp;TEXT(C$5+A18,"0"))</f>
        <v>Test2/ifx_o3.x</v>
      </c>
      <c r="D18" s="1" cm="1">
        <f t="array" aca="1" ref="D18" ca="1">INDIRECT("RawData!"&amp;ADDRESS($C$5+$A18,D$6))</f>
        <v>10.625</v>
      </c>
      <c r="E18" s="1" cm="1">
        <f t="array" aca="1" ref="E18" ca="1">INDIRECT("RawData!"&amp;ADDRESS($C$5+$A18,E$6))</f>
        <v>1.14774</v>
      </c>
      <c r="F18" s="1" cm="1">
        <f t="array" aca="1" ref="F18" ca="1">INDIRECT("RawData!"&amp;ADDRESS($C$5+$A18,F$6))</f>
        <v>0.18146999999999999</v>
      </c>
      <c r="G18" s="1" cm="1">
        <f t="array" aca="1" ref="G18" ca="1">INDIRECT("RawData!"&amp;ADDRESS($C$5+$A18,G$6))</f>
        <v>9.25</v>
      </c>
      <c r="H18" s="1" cm="1">
        <f t="array" aca="1" ref="H18" ca="1">INDIRECT("RawData!"&amp;ADDRESS($C$5+$A18,H$6))</f>
        <v>1.2142299999999999</v>
      </c>
      <c r="I18" s="1" cm="1">
        <f t="array" aca="1" ref="I18" ca="1">INDIRECT("RawData!"&amp;ADDRESS($C$5+$A18,I$6))</f>
        <v>0.19198999999999999</v>
      </c>
      <c r="J18" s="1" cm="1">
        <f t="array" aca="1" ref="J18" ca="1">INDIRECT("RawData!"&amp;ADDRESS($C$5+$A18,J$6))</f>
        <v>3.8679999999999999</v>
      </c>
      <c r="K18" s="1" cm="1">
        <f t="array" aca="1" ref="K18" ca="1">INDIRECT("RawData!"&amp;ADDRESS($C$5+$A18,K$6))</f>
        <v>0.12067</v>
      </c>
      <c r="L18" s="1" cm="1">
        <f t="array" aca="1" ref="L18" ca="1">INDIRECT("RawData!"&amp;ADDRESS($C$5+$A18,L$6))</f>
        <v>1.908E-2</v>
      </c>
      <c r="M18" s="1" cm="1">
        <f t="array" aca="1" ref="M18" ca="1">INDIRECT("RawData!"&amp;ADDRESS($C$5+$A18,M$6))</f>
        <v>3.7410000000000001</v>
      </c>
      <c r="N18" s="1" cm="1">
        <f t="array" aca="1" ref="N18" ca="1">INDIRECT("RawData!"&amp;ADDRESS($C$5+$A18,N$6))</f>
        <v>0.20161999999999999</v>
      </c>
      <c r="O18" s="1" cm="1">
        <f t="array" aca="1" ref="O18" ca="1">INDIRECT("RawData!"&amp;ADDRESS($C$5+$A18,O$6))</f>
        <v>3.1879999999999999E-2</v>
      </c>
      <c r="P18" s="1" cm="1">
        <f t="array" aca="1" ref="P18" ca="1">INDIRECT("RawData!"&amp;ADDRESS($C$5+$A18,P$6))</f>
        <v>0</v>
      </c>
      <c r="Q18" s="1" cm="1">
        <f t="array" aca="1" ref="Q18" ca="1">INDIRECT("RawData!"&amp;ADDRESS($C$5+$A18,Q$6))</f>
        <v>0</v>
      </c>
      <c r="R18" s="1" cm="1">
        <f t="array" aca="1" ref="R18" ca="1">INDIRECT("RawData!"&amp;ADDRESS($C$5+$A18,R$6))</f>
        <v>0</v>
      </c>
      <c r="S18" s="1" cm="1">
        <f t="array" aca="1" ref="S18" ca="1">INDIRECT("RawData!"&amp;ADDRESS($C$5+$A18,S$6))</f>
        <v>0</v>
      </c>
      <c r="T18" s="1" cm="1">
        <f t="array" aca="1" ref="T18" ca="1">INDIRECT("RawData!"&amp;ADDRESS($C$5+$A18,T$6))</f>
        <v>0</v>
      </c>
      <c r="U18" s="1" cm="1">
        <f t="array" aca="1" ref="U18" ca="1">INDIRECT("RawData!"&amp;ADDRESS($C$5+$A18,U$6))</f>
        <v>0</v>
      </c>
      <c r="V18" s="1" cm="1">
        <f t="array" aca="1" ref="V18" ca="1">INDIRECT("RawData!"&amp;ADDRESS($C$5+$A18,V$6))</f>
        <v>9.6440000000000001</v>
      </c>
      <c r="W18" s="1" cm="1">
        <f t="array" aca="1" ref="W18" ca="1">INDIRECT("RawData!"&amp;ADDRESS($C$5+$A18,W$6))</f>
        <v>0.11801</v>
      </c>
      <c r="X18" s="1" cm="1">
        <f t="array" aca="1" ref="X18" ca="1">INDIRECT("RawData!"&amp;ADDRESS($C$5+$A18,X$6))</f>
        <v>1.866E-2</v>
      </c>
      <c r="Y18" s="1" cm="1">
        <f t="array" aca="1" ref="Y18" ca="1">INDIRECT("RawData!"&amp;ADDRESS($C$5+$A18,Y$6))</f>
        <v>8.0269999999999992</v>
      </c>
      <c r="Z18" s="1" cm="1">
        <f t="array" aca="1" ref="Z18" ca="1">INDIRECT("RawData!"&amp;ADDRESS($C$5+$A18,Z$6))</f>
        <v>0.12809000000000001</v>
      </c>
      <c r="AA18" s="1" cm="1">
        <f t="array" aca="1" ref="AA18" ca="1">INDIRECT("RawData!"&amp;ADDRESS($C$5+$A18,AA$6))</f>
        <v>2.0250000000000001E-2</v>
      </c>
    </row>
    <row r="19" spans="1:27" x14ac:dyDescent="0.3">
      <c r="A19" s="1">
        <v>8</v>
      </c>
      <c r="C19" s="1" t="str" cm="1">
        <f t="array" aca="1" ref="C19" ca="1">INDIRECT("RawData!A"&amp;TEXT(C$5+A19,"0"))</f>
        <v>Test2/ifx_w_lu2.x</v>
      </c>
      <c r="D19" s="1" cm="1">
        <f t="array" aca="1" ref="D19" ca="1">INDIRECT("RawData!"&amp;ADDRESS($C$5+$A19,D$6))</f>
        <v>10.15</v>
      </c>
      <c r="E19" s="1" cm="1">
        <f t="array" aca="1" ref="E19" ca="1">INDIRECT("RawData!"&amp;ADDRESS($C$5+$A19,E$6))</f>
        <v>0.80223999999999995</v>
      </c>
      <c r="F19" s="1" cm="1">
        <f t="array" aca="1" ref="F19" ca="1">INDIRECT("RawData!"&amp;ADDRESS($C$5+$A19,F$6))</f>
        <v>0.12684999999999999</v>
      </c>
      <c r="G19" s="1" cm="1">
        <f t="array" aca="1" ref="G19" ca="1">INDIRECT("RawData!"&amp;ADDRESS($C$5+$A19,G$6))</f>
        <v>9.6</v>
      </c>
      <c r="H19" s="1" cm="1">
        <f t="array" aca="1" ref="H19" ca="1">INDIRECT("RawData!"&amp;ADDRESS($C$5+$A19,H$6))</f>
        <v>1.29694</v>
      </c>
      <c r="I19" s="1" cm="1">
        <f t="array" aca="1" ref="I19" ca="1">INDIRECT("RawData!"&amp;ADDRESS($C$5+$A19,I$6))</f>
        <v>0.20505999999999999</v>
      </c>
      <c r="J19" s="1" cm="1">
        <f t="array" aca="1" ref="J19" ca="1">INDIRECT("RawData!"&amp;ADDRESS($C$5+$A19,J$6))</f>
        <v>3.7730000000000001</v>
      </c>
      <c r="K19" s="1" cm="1">
        <f t="array" aca="1" ref="K19" ca="1">INDIRECT("RawData!"&amp;ADDRESS($C$5+$A19,K$6))</f>
        <v>0.22017999999999999</v>
      </c>
      <c r="L19" s="1" cm="1">
        <f t="array" aca="1" ref="L19" ca="1">INDIRECT("RawData!"&amp;ADDRESS($C$5+$A19,L$6))</f>
        <v>3.4810000000000001E-2</v>
      </c>
      <c r="M19" s="1" cm="1">
        <f t="array" aca="1" ref="M19" ca="1">INDIRECT("RawData!"&amp;ADDRESS($C$5+$A19,M$6))</f>
        <v>3.653</v>
      </c>
      <c r="N19" s="1" cm="1">
        <f t="array" aca="1" ref="N19" ca="1">INDIRECT("RawData!"&amp;ADDRESS($C$5+$A19,N$6))</f>
        <v>0.14333000000000001</v>
      </c>
      <c r="O19" s="1" cm="1">
        <f t="array" aca="1" ref="O19" ca="1">INDIRECT("RawData!"&amp;ADDRESS($C$5+$A19,O$6))</f>
        <v>2.266E-2</v>
      </c>
      <c r="P19" s="1" cm="1">
        <f t="array" aca="1" ref="P19" ca="1">INDIRECT("RawData!"&amp;ADDRESS($C$5+$A19,P$6))</f>
        <v>0</v>
      </c>
      <c r="Q19" s="1" cm="1">
        <f t="array" aca="1" ref="Q19" ca="1">INDIRECT("RawData!"&amp;ADDRESS($C$5+$A19,Q$6))</f>
        <v>0</v>
      </c>
      <c r="R19" s="1" cm="1">
        <f t="array" aca="1" ref="R19" ca="1">INDIRECT("RawData!"&amp;ADDRESS($C$5+$A19,R$6))</f>
        <v>0</v>
      </c>
      <c r="S19" s="1" cm="1">
        <f t="array" aca="1" ref="S19" ca="1">INDIRECT("RawData!"&amp;ADDRESS($C$5+$A19,S$6))</f>
        <v>0</v>
      </c>
      <c r="T19" s="1" cm="1">
        <f t="array" aca="1" ref="T19" ca="1">INDIRECT("RawData!"&amp;ADDRESS($C$5+$A19,T$6))</f>
        <v>0</v>
      </c>
      <c r="U19" s="1" cm="1">
        <f t="array" aca="1" ref="U19" ca="1">INDIRECT("RawData!"&amp;ADDRESS($C$5+$A19,U$6))</f>
        <v>0</v>
      </c>
      <c r="V19" s="1" cm="1">
        <f t="array" aca="1" ref="V19" ca="1">INDIRECT("RawData!"&amp;ADDRESS($C$5+$A19,V$6))</f>
        <v>9.1690000000000005</v>
      </c>
      <c r="W19" s="1" cm="1">
        <f t="array" aca="1" ref="W19" ca="1">INDIRECT("RawData!"&amp;ADDRESS($C$5+$A19,W$6))</f>
        <v>0.12816</v>
      </c>
      <c r="X19" s="1" cm="1">
        <f t="array" aca="1" ref="X19" ca="1">INDIRECT("RawData!"&amp;ADDRESS($C$5+$A19,X$6))</f>
        <v>2.026E-2</v>
      </c>
      <c r="Y19" s="1" cm="1">
        <f t="array" aca="1" ref="Y19" ca="1">INDIRECT("RawData!"&amp;ADDRESS($C$5+$A19,Y$6))</f>
        <v>8.0609999999999999</v>
      </c>
      <c r="Z19" s="1" cm="1">
        <f t="array" aca="1" ref="Z19" ca="1">INDIRECT("RawData!"&amp;ADDRESS($C$5+$A19,Z$6))</f>
        <v>9.06E-2</v>
      </c>
      <c r="AA19" s="1" cm="1">
        <f t="array" aca="1" ref="AA19" ca="1">INDIRECT("RawData!"&amp;ADDRESS($C$5+$A19,AA$6))</f>
        <v>1.4319999999999999E-2</v>
      </c>
    </row>
    <row r="20" spans="1:27" x14ac:dyDescent="0.3">
      <c r="A20" s="1">
        <v>9</v>
      </c>
      <c r="C20" s="1" t="str" cm="1">
        <f t="array" aca="1" ref="C20" ca="1">INDIRECT("RawData!A"&amp;TEXT(C$5+A20,"0"))</f>
        <v>Test2/ifx_w_lu2_o3.x</v>
      </c>
      <c r="D20" s="1" cm="1">
        <f t="array" aca="1" ref="D20" ca="1">INDIRECT("RawData!"&amp;ADDRESS($C$5+$A20,D$6))</f>
        <v>10.074999999999999</v>
      </c>
      <c r="E20" s="1" cm="1">
        <f t="array" aca="1" ref="E20" ca="1">INDIRECT("RawData!"&amp;ADDRESS($C$5+$A20,E$6))</f>
        <v>0.85895999999999995</v>
      </c>
      <c r="F20" s="1" cm="1">
        <f t="array" aca="1" ref="F20" ca="1">INDIRECT("RawData!"&amp;ADDRESS($C$5+$A20,F$6))</f>
        <v>0.13580999999999999</v>
      </c>
      <c r="G20" s="1" cm="1">
        <f t="array" aca="1" ref="G20" ca="1">INDIRECT("RawData!"&amp;ADDRESS($C$5+$A20,G$6))</f>
        <v>9.5749999999999993</v>
      </c>
      <c r="H20" s="1" cm="1">
        <f t="array" aca="1" ref="H20" ca="1">INDIRECT("RawData!"&amp;ADDRESS($C$5+$A20,H$6))</f>
        <v>0.90263000000000004</v>
      </c>
      <c r="I20" s="1" cm="1">
        <f t="array" aca="1" ref="I20" ca="1">INDIRECT("RawData!"&amp;ADDRESS($C$5+$A20,I$6))</f>
        <v>0.14272000000000001</v>
      </c>
      <c r="J20" s="1" cm="1">
        <f t="array" aca="1" ref="J20" ca="1">INDIRECT("RawData!"&amp;ADDRESS($C$5+$A20,J$6))</f>
        <v>3.694</v>
      </c>
      <c r="K20" s="1" cm="1">
        <f t="array" aca="1" ref="K20" ca="1">INDIRECT("RawData!"&amp;ADDRESS($C$5+$A20,K$6))</f>
        <v>0.11266</v>
      </c>
      <c r="L20" s="1" cm="1">
        <f t="array" aca="1" ref="L20" ca="1">INDIRECT("RawData!"&amp;ADDRESS($C$5+$A20,L$6))</f>
        <v>1.7809999999999999E-2</v>
      </c>
      <c r="M20" s="1" cm="1">
        <f t="array" aca="1" ref="M20" ca="1">INDIRECT("RawData!"&amp;ADDRESS($C$5+$A20,M$6))</f>
        <v>3.6259999999999999</v>
      </c>
      <c r="N20" s="1" cm="1">
        <f t="array" aca="1" ref="N20" ca="1">INDIRECT("RawData!"&amp;ADDRESS($C$5+$A20,N$6))</f>
        <v>0.18626000000000001</v>
      </c>
      <c r="O20" s="1" cm="1">
        <f t="array" aca="1" ref="O20" ca="1">INDIRECT("RawData!"&amp;ADDRESS($C$5+$A20,O$6))</f>
        <v>2.945E-2</v>
      </c>
      <c r="P20" s="1" cm="1">
        <f t="array" aca="1" ref="P20" ca="1">INDIRECT("RawData!"&amp;ADDRESS($C$5+$A20,P$6))</f>
        <v>0</v>
      </c>
      <c r="Q20" s="1" cm="1">
        <f t="array" aca="1" ref="Q20" ca="1">INDIRECT("RawData!"&amp;ADDRESS($C$5+$A20,Q$6))</f>
        <v>0</v>
      </c>
      <c r="R20" s="1" cm="1">
        <f t="array" aca="1" ref="R20" ca="1">INDIRECT("RawData!"&amp;ADDRESS($C$5+$A20,R$6))</f>
        <v>0</v>
      </c>
      <c r="S20" s="1" cm="1">
        <f t="array" aca="1" ref="S20" ca="1">INDIRECT("RawData!"&amp;ADDRESS($C$5+$A20,S$6))</f>
        <v>0</v>
      </c>
      <c r="T20" s="1" cm="1">
        <f t="array" aca="1" ref="T20" ca="1">INDIRECT("RawData!"&amp;ADDRESS($C$5+$A20,T$6))</f>
        <v>0</v>
      </c>
      <c r="U20" s="1" cm="1">
        <f t="array" aca="1" ref="U20" ca="1">INDIRECT("RawData!"&amp;ADDRESS($C$5+$A20,U$6))</f>
        <v>0</v>
      </c>
      <c r="V20" s="1" cm="1">
        <f t="array" aca="1" ref="V20" ca="1">INDIRECT("RawData!"&amp;ADDRESS($C$5+$A20,V$6))</f>
        <v>9.4920000000000009</v>
      </c>
      <c r="W20" s="1" cm="1">
        <f t="array" aca="1" ref="W20" ca="1">INDIRECT("RawData!"&amp;ADDRESS($C$5+$A20,W$6))</f>
        <v>0.16774</v>
      </c>
      <c r="X20" s="1" cm="1">
        <f t="array" aca="1" ref="X20" ca="1">INDIRECT("RawData!"&amp;ADDRESS($C$5+$A20,X$6))</f>
        <v>2.6519999999999998E-2</v>
      </c>
      <c r="Y20" s="1" cm="1">
        <f t="array" aca="1" ref="Y20" ca="1">INDIRECT("RawData!"&amp;ADDRESS($C$5+$A20,Y$6))</f>
        <v>8.0410000000000004</v>
      </c>
      <c r="Z20" s="1" cm="1">
        <f t="array" aca="1" ref="Z20" ca="1">INDIRECT("RawData!"&amp;ADDRESS($C$5+$A20,Z$6))</f>
        <v>8.7910000000000002E-2</v>
      </c>
      <c r="AA20" s="1" cm="1">
        <f t="array" aca="1" ref="AA20" ca="1">INDIRECT("RawData!"&amp;ADDRESS($C$5+$A20,AA$6))</f>
        <v>1.3899999999999999E-2</v>
      </c>
    </row>
    <row r="21" spans="1:27" x14ac:dyDescent="0.3">
      <c r="A21" s="1">
        <v>10</v>
      </c>
      <c r="C21" s="1" t="str" cm="1">
        <f t="array" aca="1" ref="C21" ca="1">INDIRECT("RawData!A"&amp;TEXT(C$5+A21,"0"))</f>
        <v>Test2/ifx_w_lu4.x</v>
      </c>
      <c r="D21" s="1" cm="1">
        <f t="array" aca="1" ref="D21" ca="1">INDIRECT("RawData!"&amp;ADDRESS($C$5+$A21,D$6))</f>
        <v>10.050000000000001</v>
      </c>
      <c r="E21" s="1" cm="1">
        <f t="array" aca="1" ref="E21" ca="1">INDIRECT("RawData!"&amp;ADDRESS($C$5+$A21,E$6))</f>
        <v>1.0848599999999999</v>
      </c>
      <c r="F21" s="1" cm="1">
        <f t="array" aca="1" ref="F21" ca="1">INDIRECT("RawData!"&amp;ADDRESS($C$5+$A21,F$6))</f>
        <v>0.17152999999999999</v>
      </c>
      <c r="G21" s="1" cm="1">
        <f t="array" aca="1" ref="G21" ca="1">INDIRECT("RawData!"&amp;ADDRESS($C$5+$A21,G$6))</f>
        <v>9.5500000000000007</v>
      </c>
      <c r="H21" s="1" cm="1">
        <f t="array" aca="1" ref="H21" ca="1">INDIRECT("RawData!"&amp;ADDRESS($C$5+$A21,H$6))</f>
        <v>1.4667300000000001</v>
      </c>
      <c r="I21" s="1" cm="1">
        <f t="array" aca="1" ref="I21" ca="1">INDIRECT("RawData!"&amp;ADDRESS($C$5+$A21,I$6))</f>
        <v>0.23191000000000001</v>
      </c>
      <c r="J21" s="1" cm="1">
        <f t="array" aca="1" ref="J21" ca="1">INDIRECT("RawData!"&amp;ADDRESS($C$5+$A21,J$6))</f>
        <v>3.6920000000000002</v>
      </c>
      <c r="K21" s="1" cm="1">
        <f t="array" aca="1" ref="K21" ca="1">INDIRECT("RawData!"&amp;ADDRESS($C$5+$A21,K$6))</f>
        <v>0.18521000000000001</v>
      </c>
      <c r="L21" s="1" cm="1">
        <f t="array" aca="1" ref="L21" ca="1">INDIRECT("RawData!"&amp;ADDRESS($C$5+$A21,L$6))</f>
        <v>2.928E-2</v>
      </c>
      <c r="M21" s="1" cm="1">
        <f t="array" aca="1" ref="M21" ca="1">INDIRECT("RawData!"&amp;ADDRESS($C$5+$A21,M$6))</f>
        <v>3.734</v>
      </c>
      <c r="N21" s="1" cm="1">
        <f t="array" aca="1" ref="N21" ca="1">INDIRECT("RawData!"&amp;ADDRESS($C$5+$A21,N$6))</f>
        <v>0.18947</v>
      </c>
      <c r="O21" s="1" cm="1">
        <f t="array" aca="1" ref="O21" ca="1">INDIRECT("RawData!"&amp;ADDRESS($C$5+$A21,O$6))</f>
        <v>2.9960000000000001E-2</v>
      </c>
      <c r="P21" s="1" cm="1">
        <f t="array" aca="1" ref="P21" ca="1">INDIRECT("RawData!"&amp;ADDRESS($C$5+$A21,P$6))</f>
        <v>0</v>
      </c>
      <c r="Q21" s="1" cm="1">
        <f t="array" aca="1" ref="Q21" ca="1">INDIRECT("RawData!"&amp;ADDRESS($C$5+$A21,Q$6))</f>
        <v>0</v>
      </c>
      <c r="R21" s="1" cm="1">
        <f t="array" aca="1" ref="R21" ca="1">INDIRECT("RawData!"&amp;ADDRESS($C$5+$A21,R$6))</f>
        <v>0</v>
      </c>
      <c r="S21" s="1" cm="1">
        <f t="array" aca="1" ref="S21" ca="1">INDIRECT("RawData!"&amp;ADDRESS($C$5+$A21,S$6))</f>
        <v>0</v>
      </c>
      <c r="T21" s="1" cm="1">
        <f t="array" aca="1" ref="T21" ca="1">INDIRECT("RawData!"&amp;ADDRESS($C$5+$A21,T$6))</f>
        <v>0</v>
      </c>
      <c r="U21" s="1" cm="1">
        <f t="array" aca="1" ref="U21" ca="1">INDIRECT("RawData!"&amp;ADDRESS($C$5+$A21,U$6))</f>
        <v>0</v>
      </c>
      <c r="V21" s="1" cm="1">
        <f t="array" aca="1" ref="V21" ca="1">INDIRECT("RawData!"&amp;ADDRESS($C$5+$A21,V$6))</f>
        <v>9.17</v>
      </c>
      <c r="W21" s="1" cm="1">
        <f t="array" aca="1" ref="W21" ca="1">INDIRECT("RawData!"&amp;ADDRESS($C$5+$A21,W$6))</f>
        <v>0.1668</v>
      </c>
      <c r="X21" s="1" cm="1">
        <f t="array" aca="1" ref="X21" ca="1">INDIRECT("RawData!"&amp;ADDRESS($C$5+$A21,X$6))</f>
        <v>2.6370000000000001E-2</v>
      </c>
      <c r="Y21" s="1" cm="1">
        <f t="array" aca="1" ref="Y21" ca="1">INDIRECT("RawData!"&amp;ADDRESS($C$5+$A21,Y$6))</f>
        <v>8.06</v>
      </c>
      <c r="Z21" s="1" cm="1">
        <f t="array" aca="1" ref="Z21" ca="1">INDIRECT("RawData!"&amp;ADDRESS($C$5+$A21,Z$6))</f>
        <v>9.7769999999999996E-2</v>
      </c>
      <c r="AA21" s="1" cm="1">
        <f t="array" aca="1" ref="AA21" ca="1">INDIRECT("RawData!"&amp;ADDRESS($C$5+$A21,AA$6))</f>
        <v>1.546E-2</v>
      </c>
    </row>
    <row r="22" spans="1:27" x14ac:dyDescent="0.3">
      <c r="A22" s="1">
        <v>11</v>
      </c>
      <c r="C22" s="1" t="str" cm="1">
        <f t="array" aca="1" ref="C22" ca="1">INDIRECT("RawData!A"&amp;TEXT(C$5+A22,"0"))</f>
        <v>Test2/ifx_w_lu8.x</v>
      </c>
      <c r="D22" s="1" cm="1">
        <f t="array" aca="1" ref="D22" ca="1">INDIRECT("RawData!"&amp;ADDRESS($C$5+$A22,D$6))</f>
        <v>10.025</v>
      </c>
      <c r="E22" s="1" cm="1">
        <f t="array" aca="1" ref="E22" ca="1">INDIRECT("RawData!"&amp;ADDRESS($C$5+$A22,E$6))</f>
        <v>0.86194000000000004</v>
      </c>
      <c r="F22" s="1" cm="1">
        <f t="array" aca="1" ref="F22" ca="1">INDIRECT("RawData!"&amp;ADDRESS($C$5+$A22,F$6))</f>
        <v>0.13628999999999999</v>
      </c>
      <c r="G22" s="1" cm="1">
        <f t="array" aca="1" ref="G22" ca="1">INDIRECT("RawData!"&amp;ADDRESS($C$5+$A22,G$6))</f>
        <v>10.125</v>
      </c>
      <c r="H22" s="1" cm="1">
        <f t="array" aca="1" ref="H22" ca="1">INDIRECT("RawData!"&amp;ADDRESS($C$5+$A22,H$6))</f>
        <v>1.09046</v>
      </c>
      <c r="I22" s="1" cm="1">
        <f t="array" aca="1" ref="I22" ca="1">INDIRECT("RawData!"&amp;ADDRESS($C$5+$A22,I$6))</f>
        <v>0.17241999999999999</v>
      </c>
      <c r="J22" s="1" cm="1">
        <f t="array" aca="1" ref="J22" ca="1">INDIRECT("RawData!"&amp;ADDRESS($C$5+$A22,J$6))</f>
        <v>3.7490000000000001</v>
      </c>
      <c r="K22" s="1" cm="1">
        <f t="array" aca="1" ref="K22" ca="1">INDIRECT("RawData!"&amp;ADDRESS($C$5+$A22,K$6))</f>
        <v>0.20438000000000001</v>
      </c>
      <c r="L22" s="1" cm="1">
        <f t="array" aca="1" ref="L22" ca="1">INDIRECT("RawData!"&amp;ADDRESS($C$5+$A22,L$6))</f>
        <v>3.2320000000000002E-2</v>
      </c>
      <c r="M22" s="1" cm="1">
        <f t="array" aca="1" ref="M22" ca="1">INDIRECT("RawData!"&amp;ADDRESS($C$5+$A22,M$6))</f>
        <v>8.8040000000000003</v>
      </c>
      <c r="N22" s="1" cm="1">
        <f t="array" aca="1" ref="N22" ca="1">INDIRECT("RawData!"&amp;ADDRESS($C$5+$A22,N$6))</f>
        <v>0.15071000000000001</v>
      </c>
      <c r="O22" s="1" cm="1">
        <f t="array" aca="1" ref="O22" ca="1">INDIRECT("RawData!"&amp;ADDRESS($C$5+$A22,O$6))</f>
        <v>2.383E-2</v>
      </c>
      <c r="P22" s="1" cm="1">
        <f t="array" aca="1" ref="P22" ca="1">INDIRECT("RawData!"&amp;ADDRESS($C$5+$A22,P$6))</f>
        <v>0</v>
      </c>
      <c r="Q22" s="1" cm="1">
        <f t="array" aca="1" ref="Q22" ca="1">INDIRECT("RawData!"&amp;ADDRESS($C$5+$A22,Q$6))</f>
        <v>0</v>
      </c>
      <c r="R22" s="1" cm="1">
        <f t="array" aca="1" ref="R22" ca="1">INDIRECT("RawData!"&amp;ADDRESS($C$5+$A22,R$6))</f>
        <v>0</v>
      </c>
      <c r="S22" s="1" cm="1">
        <f t="array" aca="1" ref="S22" ca="1">INDIRECT("RawData!"&amp;ADDRESS($C$5+$A22,S$6))</f>
        <v>0</v>
      </c>
      <c r="T22" s="1" cm="1">
        <f t="array" aca="1" ref="T22" ca="1">INDIRECT("RawData!"&amp;ADDRESS($C$5+$A22,T$6))</f>
        <v>0</v>
      </c>
      <c r="U22" s="1" cm="1">
        <f t="array" aca="1" ref="U22" ca="1">INDIRECT("RawData!"&amp;ADDRESS($C$5+$A22,U$6))</f>
        <v>0</v>
      </c>
      <c r="V22" s="1" cm="1">
        <f t="array" aca="1" ref="V22" ca="1">INDIRECT("RawData!"&amp;ADDRESS($C$5+$A22,V$6))</f>
        <v>9.1379999999999999</v>
      </c>
      <c r="W22" s="1" cm="1">
        <f t="array" aca="1" ref="W22" ca="1">INDIRECT("RawData!"&amp;ADDRESS($C$5+$A22,W$6))</f>
        <v>0.23824999999999999</v>
      </c>
      <c r="X22" s="1" cm="1">
        <f t="array" aca="1" ref="X22" ca="1">INDIRECT("RawData!"&amp;ADDRESS($C$5+$A22,X$6))</f>
        <v>3.7670000000000002E-2</v>
      </c>
      <c r="Y22" s="1" cm="1">
        <f t="array" aca="1" ref="Y22" ca="1">INDIRECT("RawData!"&amp;ADDRESS($C$5+$A22,Y$6))</f>
        <v>9.1620000000000008</v>
      </c>
      <c r="Z22" s="1" cm="1">
        <f t="array" aca="1" ref="Z22" ca="1">INDIRECT("RawData!"&amp;ADDRESS($C$5+$A22,Z$6))</f>
        <v>0.12347</v>
      </c>
      <c r="AA22" s="1" cm="1">
        <f t="array" aca="1" ref="AA22" ca="1">INDIRECT("RawData!"&amp;ADDRESS($C$5+$A22,AA$6))</f>
        <v>1.9519999999999999E-2</v>
      </c>
    </row>
    <row r="23" spans="1:27" x14ac:dyDescent="0.3">
      <c r="A23" s="1">
        <v>12</v>
      </c>
      <c r="C23" s="1" t="str" cm="1">
        <f t="array" aca="1" ref="C23" ca="1">INDIRECT("RawData!A"&amp;TEXT(C$5+A23,"0"))</f>
        <v>Test2/gpp.x</v>
      </c>
      <c r="D23" s="1" cm="1">
        <f t="array" aca="1" ref="D23" ca="1">INDIRECT("RawData!"&amp;ADDRESS($C$5+$A23,D$6))</f>
        <v>10.525</v>
      </c>
      <c r="E23" s="1" cm="1">
        <f t="array" aca="1" ref="E23" ca="1">INDIRECT("RawData!"&amp;ADDRESS($C$5+$A23,E$6))</f>
        <v>0.42359000000000002</v>
      </c>
      <c r="F23" s="1" cm="1">
        <f t="array" aca="1" ref="F23" ca="1">INDIRECT("RawData!"&amp;ADDRESS($C$5+$A23,F$6))</f>
        <v>6.6979999999999998E-2</v>
      </c>
      <c r="G23" s="1" cm="1">
        <f t="array" aca="1" ref="G23" ca="1">INDIRECT("RawData!"&amp;ADDRESS($C$5+$A23,G$6))</f>
        <v>10.512</v>
      </c>
      <c r="H23" s="1" cm="1">
        <f t="array" aca="1" ref="H23" ca="1">INDIRECT("RawData!"&amp;ADDRESS($C$5+$A23,H$6))</f>
        <v>0.93971000000000005</v>
      </c>
      <c r="I23" s="1" cm="1">
        <f t="array" aca="1" ref="I23" ca="1">INDIRECT("RawData!"&amp;ADDRESS($C$5+$A23,I$6))</f>
        <v>0.14857999999999999</v>
      </c>
      <c r="J23" s="1" cm="1">
        <f t="array" aca="1" ref="J23" ca="1">INDIRECT("RawData!"&amp;ADDRESS($C$5+$A23,J$6))</f>
        <v>3.9249999999999998</v>
      </c>
      <c r="K23" s="1" cm="1">
        <f t="array" aca="1" ref="K23" ca="1">INDIRECT("RawData!"&amp;ADDRESS($C$5+$A23,K$6))</f>
        <v>0.16469</v>
      </c>
      <c r="L23" s="1" cm="1">
        <f t="array" aca="1" ref="L23" ca="1">INDIRECT("RawData!"&amp;ADDRESS($C$5+$A23,L$6))</f>
        <v>2.6040000000000001E-2</v>
      </c>
      <c r="M23" s="1" cm="1">
        <f t="array" aca="1" ref="M23" ca="1">INDIRECT("RawData!"&amp;ADDRESS($C$5+$A23,M$6))</f>
        <v>3.8889999999999998</v>
      </c>
      <c r="N23" s="1" cm="1">
        <f t="array" aca="1" ref="N23" ca="1">INDIRECT("RawData!"&amp;ADDRESS($C$5+$A23,N$6))</f>
        <v>0.17441000000000001</v>
      </c>
      <c r="O23" s="1" cm="1">
        <f t="array" aca="1" ref="O23" ca="1">INDIRECT("RawData!"&amp;ADDRESS($C$5+$A23,O$6))</f>
        <v>2.758E-2</v>
      </c>
      <c r="P23" s="1" cm="1">
        <f t="array" aca="1" ref="P23" ca="1">INDIRECT("RawData!"&amp;ADDRESS($C$5+$A23,P$6))</f>
        <v>8.2370000000000001</v>
      </c>
      <c r="Q23" s="1" cm="1">
        <f t="array" aca="1" ref="Q23" ca="1">INDIRECT("RawData!"&amp;ADDRESS($C$5+$A23,Q$6))</f>
        <v>2.7572899999999998</v>
      </c>
      <c r="R23" s="1" cm="1">
        <f t="array" aca="1" ref="R23" ca="1">INDIRECT("RawData!"&amp;ADDRESS($C$5+$A23,R$6))</f>
        <v>0.43597000000000002</v>
      </c>
      <c r="S23" s="1" cm="1">
        <f t="array" aca="1" ref="S23" ca="1">INDIRECT("RawData!"&amp;ADDRESS($C$5+$A23,S$6))</f>
        <v>5.91</v>
      </c>
      <c r="T23" s="1" cm="1">
        <f t="array" aca="1" ref="T23" ca="1">INDIRECT("RawData!"&amp;ADDRESS($C$5+$A23,T$6))</f>
        <v>2.2219899999999999</v>
      </c>
      <c r="U23" s="1" cm="1">
        <f t="array" aca="1" ref="U23" ca="1">INDIRECT("RawData!"&amp;ADDRESS($C$5+$A23,U$6))</f>
        <v>0.35132999999999998</v>
      </c>
      <c r="V23" s="1" cm="1">
        <f t="array" aca="1" ref="V23" ca="1">INDIRECT("RawData!"&amp;ADDRESS($C$5+$A23,V$6))</f>
        <v>9.609</v>
      </c>
      <c r="W23" s="1" cm="1">
        <f t="array" aca="1" ref="W23" ca="1">INDIRECT("RawData!"&amp;ADDRESS($C$5+$A23,W$6))</f>
        <v>7.0550000000000002E-2</v>
      </c>
      <c r="X23" s="1" cm="1">
        <f t="array" aca="1" ref="X23" ca="1">INDIRECT("RawData!"&amp;ADDRESS($C$5+$A23,X$6))</f>
        <v>1.116E-2</v>
      </c>
      <c r="Y23" s="1" cm="1">
        <f t="array" aca="1" ref="Y23" ca="1">INDIRECT("RawData!"&amp;ADDRESS($C$5+$A23,Y$6))</f>
        <v>9.66</v>
      </c>
      <c r="Z23" s="1" cm="1">
        <f t="array" aca="1" ref="Z23" ca="1">INDIRECT("RawData!"&amp;ADDRESS($C$5+$A23,Z$6))</f>
        <v>0.11366999999999999</v>
      </c>
      <c r="AA23" s="1" cm="1">
        <f t="array" aca="1" ref="AA23" ca="1">INDIRECT("RawData!"&amp;ADDRESS($C$5+$A23,AA$6))</f>
        <v>1.797E-2</v>
      </c>
    </row>
    <row r="24" spans="1:27" x14ac:dyDescent="0.3">
      <c r="A24" s="1">
        <v>13</v>
      </c>
      <c r="C24" s="1" t="str" cm="1">
        <f t="array" aca="1" ref="C24" ca="1">INDIRECT("RawData!A"&amp;TEXT(C$5+A24,"0"))</f>
        <v>Test2/gpp_o3.x</v>
      </c>
      <c r="D24" s="1" cm="1">
        <f t="array" aca="1" ref="D24" ca="1">INDIRECT("RawData!"&amp;ADDRESS($C$5+$A24,D$6))</f>
        <v>10.054</v>
      </c>
      <c r="E24" s="1" cm="1">
        <f t="array" aca="1" ref="E24" ca="1">INDIRECT("RawData!"&amp;ADDRESS($C$5+$A24,E$6))</f>
        <v>0.51509000000000005</v>
      </c>
      <c r="F24" s="1" cm="1">
        <f t="array" aca="1" ref="F24" ca="1">INDIRECT("RawData!"&amp;ADDRESS($C$5+$A24,F$6))</f>
        <v>8.1439999999999999E-2</v>
      </c>
      <c r="G24" s="1" cm="1">
        <f t="array" aca="1" ref="G24" ca="1">INDIRECT("RawData!"&amp;ADDRESS($C$5+$A24,G$6))</f>
        <v>9.6969999999999992</v>
      </c>
      <c r="H24" s="1" cm="1">
        <f t="array" aca="1" ref="H24" ca="1">INDIRECT("RawData!"&amp;ADDRESS($C$5+$A24,H$6))</f>
        <v>0.45323999999999998</v>
      </c>
      <c r="I24" s="1" cm="1">
        <f t="array" aca="1" ref="I24" ca="1">INDIRECT("RawData!"&amp;ADDRESS($C$5+$A24,I$6))</f>
        <v>7.1660000000000001E-2</v>
      </c>
      <c r="J24" s="1" cm="1">
        <f t="array" aca="1" ref="J24" ca="1">INDIRECT("RawData!"&amp;ADDRESS($C$5+$A24,J$6))</f>
        <v>3.7170000000000001</v>
      </c>
      <c r="K24" s="1" cm="1">
        <f t="array" aca="1" ref="K24" ca="1">INDIRECT("RawData!"&amp;ADDRESS($C$5+$A24,K$6))</f>
        <v>0.22092000000000001</v>
      </c>
      <c r="L24" s="1" cm="1">
        <f t="array" aca="1" ref="L24" ca="1">INDIRECT("RawData!"&amp;ADDRESS($C$5+$A24,L$6))</f>
        <v>3.4930000000000003E-2</v>
      </c>
      <c r="M24" s="1" cm="1">
        <f t="array" aca="1" ref="M24" ca="1">INDIRECT("RawData!"&amp;ADDRESS($C$5+$A24,M$6))</f>
        <v>3.6619999999999999</v>
      </c>
      <c r="N24" s="1" cm="1">
        <f t="array" aca="1" ref="N24" ca="1">INDIRECT("RawData!"&amp;ADDRESS($C$5+$A24,N$6))</f>
        <v>0.14097999999999999</v>
      </c>
      <c r="O24" s="1" cm="1">
        <f t="array" aca="1" ref="O24" ca="1">INDIRECT("RawData!"&amp;ADDRESS($C$5+$A24,O$6))</f>
        <v>2.2290000000000001E-2</v>
      </c>
      <c r="P24" s="1" cm="1">
        <f t="array" aca="1" ref="P24" ca="1">INDIRECT("RawData!"&amp;ADDRESS($C$5+$A24,P$6))</f>
        <v>6.3570000000000002</v>
      </c>
      <c r="Q24" s="1" cm="1">
        <f t="array" aca="1" ref="Q24" ca="1">INDIRECT("RawData!"&amp;ADDRESS($C$5+$A24,Q$6))</f>
        <v>0.99883999999999995</v>
      </c>
      <c r="R24" s="1" cm="1">
        <f t="array" aca="1" ref="R24" ca="1">INDIRECT("RawData!"&amp;ADDRESS($C$5+$A24,R$6))</f>
        <v>0.15792999999999999</v>
      </c>
      <c r="S24" s="1" cm="1">
        <f t="array" aca="1" ref="S24" ca="1">INDIRECT("RawData!"&amp;ADDRESS($C$5+$A24,S$6))</f>
        <v>5.9080000000000004</v>
      </c>
      <c r="T24" s="1" cm="1">
        <f t="array" aca="1" ref="T24" ca="1">INDIRECT("RawData!"&amp;ADDRESS($C$5+$A24,T$6))</f>
        <v>1.03637</v>
      </c>
      <c r="U24" s="1" cm="1">
        <f t="array" aca="1" ref="U24" ca="1">INDIRECT("RawData!"&amp;ADDRESS($C$5+$A24,U$6))</f>
        <v>0.16386000000000001</v>
      </c>
      <c r="V24" s="1" cm="1">
        <f t="array" aca="1" ref="V24" ca="1">INDIRECT("RawData!"&amp;ADDRESS($C$5+$A24,V$6))</f>
        <v>8.6110000000000007</v>
      </c>
      <c r="W24" s="1" cm="1">
        <f t="array" aca="1" ref="W24" ca="1">INDIRECT("RawData!"&amp;ADDRESS($C$5+$A24,W$6))</f>
        <v>0.14165</v>
      </c>
      <c r="X24" s="1" cm="1">
        <f t="array" aca="1" ref="X24" ca="1">INDIRECT("RawData!"&amp;ADDRESS($C$5+$A24,X$6))</f>
        <v>2.24E-2</v>
      </c>
      <c r="Y24" s="1" cm="1">
        <f t="array" aca="1" ref="Y24" ca="1">INDIRECT("RawData!"&amp;ADDRESS($C$5+$A24,Y$6))</f>
        <v>7.9960000000000004</v>
      </c>
      <c r="Z24" s="1" cm="1">
        <f t="array" aca="1" ref="Z24" ca="1">INDIRECT("RawData!"&amp;ADDRESS($C$5+$A24,Z$6))</f>
        <v>7.7109999999999998E-2</v>
      </c>
      <c r="AA24" s="1" cm="1">
        <f t="array" aca="1" ref="AA24" ca="1">INDIRECT("RawData!"&amp;ADDRESS($C$5+$A24,AA$6))</f>
        <v>1.2189999999999999E-2</v>
      </c>
    </row>
    <row r="25" spans="1:27" x14ac:dyDescent="0.3">
      <c r="A25" s="1">
        <v>14</v>
      </c>
      <c r="C25" s="1" t="str" cm="1">
        <f t="array" aca="1" ref="C25" ca="1">INDIRECT("RawData!A"&amp;TEXT(C$5+A25,"0"))</f>
        <v>Test2/gpp_w_lu2.x</v>
      </c>
      <c r="D25" s="1" cm="1">
        <f t="array" aca="1" ref="D25" ca="1">INDIRECT("RawData!"&amp;ADDRESS($C$5+$A25,D$6))</f>
        <v>10.502000000000001</v>
      </c>
      <c r="E25" s="1" cm="1">
        <f t="array" aca="1" ref="E25" ca="1">INDIRECT("RawData!"&amp;ADDRESS($C$5+$A25,E$6))</f>
        <v>0.68884999999999996</v>
      </c>
      <c r="F25" s="1" cm="1">
        <f t="array" aca="1" ref="F25" ca="1">INDIRECT("RawData!"&amp;ADDRESS($C$5+$A25,F$6))</f>
        <v>0.10892</v>
      </c>
      <c r="G25" s="1" cm="1">
        <f t="array" aca="1" ref="G25" ca="1">INDIRECT("RawData!"&amp;ADDRESS($C$5+$A25,G$6))</f>
        <v>10.634</v>
      </c>
      <c r="H25" s="1" cm="1">
        <f t="array" aca="1" ref="H25" ca="1">INDIRECT("RawData!"&amp;ADDRESS($C$5+$A25,H$6))</f>
        <v>1.00434</v>
      </c>
      <c r="I25" s="1" cm="1">
        <f t="array" aca="1" ref="I25" ca="1">INDIRECT("RawData!"&amp;ADDRESS($C$5+$A25,I$6))</f>
        <v>0.1588</v>
      </c>
      <c r="J25" s="1" cm="1">
        <f t="array" aca="1" ref="J25" ca="1">INDIRECT("RawData!"&amp;ADDRESS($C$5+$A25,J$6))</f>
        <v>4.0090000000000003</v>
      </c>
      <c r="K25" s="1" cm="1">
        <f t="array" aca="1" ref="K25" ca="1">INDIRECT("RawData!"&amp;ADDRESS($C$5+$A25,K$6))</f>
        <v>0.17582</v>
      </c>
      <c r="L25" s="1" cm="1">
        <f t="array" aca="1" ref="L25" ca="1">INDIRECT("RawData!"&amp;ADDRESS($C$5+$A25,L$6))</f>
        <v>2.7799999999999998E-2</v>
      </c>
      <c r="M25" s="1" cm="1">
        <f t="array" aca="1" ref="M25" ca="1">INDIRECT("RawData!"&amp;ADDRESS($C$5+$A25,M$6))</f>
        <v>3.8260000000000001</v>
      </c>
      <c r="N25" s="1" cm="1">
        <f t="array" aca="1" ref="N25" ca="1">INDIRECT("RawData!"&amp;ADDRESS($C$5+$A25,N$6))</f>
        <v>0.12534000000000001</v>
      </c>
      <c r="O25" s="1" cm="1">
        <f t="array" aca="1" ref="O25" ca="1">INDIRECT("RawData!"&amp;ADDRESS($C$5+$A25,O$6))</f>
        <v>1.9820000000000001E-2</v>
      </c>
      <c r="P25" s="1" cm="1">
        <f t="array" aca="1" ref="P25" ca="1">INDIRECT("RawData!"&amp;ADDRESS($C$5+$A25,P$6))</f>
        <v>6.0860000000000003</v>
      </c>
      <c r="Q25" s="1" cm="1">
        <f t="array" aca="1" ref="Q25" ca="1">INDIRECT("RawData!"&amp;ADDRESS($C$5+$A25,Q$6))</f>
        <v>0.84858999999999996</v>
      </c>
      <c r="R25" s="1" cm="1">
        <f t="array" aca="1" ref="R25" ca="1">INDIRECT("RawData!"&amp;ADDRESS($C$5+$A25,R$6))</f>
        <v>0.13417000000000001</v>
      </c>
      <c r="S25" s="1" cm="1">
        <f t="array" aca="1" ref="S25" ca="1">INDIRECT("RawData!"&amp;ADDRESS($C$5+$A25,S$6))</f>
        <v>4.7699999999999996</v>
      </c>
      <c r="T25" s="1" cm="1">
        <f t="array" aca="1" ref="T25" ca="1">INDIRECT("RawData!"&amp;ADDRESS($C$5+$A25,T$6))</f>
        <v>1.11456</v>
      </c>
      <c r="U25" s="1" cm="1">
        <f t="array" aca="1" ref="U25" ca="1">INDIRECT("RawData!"&amp;ADDRESS($C$5+$A25,U$6))</f>
        <v>0.17623</v>
      </c>
      <c r="V25" s="1" cm="1">
        <f t="array" aca="1" ref="V25" ca="1">INDIRECT("RawData!"&amp;ADDRESS($C$5+$A25,V$6))</f>
        <v>9.3740000000000006</v>
      </c>
      <c r="W25" s="1" cm="1">
        <f t="array" aca="1" ref="W25" ca="1">INDIRECT("RawData!"&amp;ADDRESS($C$5+$A25,W$6))</f>
        <v>0.11414000000000001</v>
      </c>
      <c r="X25" s="1" cm="1">
        <f t="array" aca="1" ref="X25" ca="1">INDIRECT("RawData!"&amp;ADDRESS($C$5+$A25,X$6))</f>
        <v>1.805E-2</v>
      </c>
      <c r="Y25" s="1" cm="1">
        <f t="array" aca="1" ref="Y25" ca="1">INDIRECT("RawData!"&amp;ADDRESS($C$5+$A25,Y$6))</f>
        <v>9.391</v>
      </c>
      <c r="Z25" s="1" cm="1">
        <f t="array" aca="1" ref="Z25" ca="1">INDIRECT("RawData!"&amp;ADDRESS($C$5+$A25,Z$6))</f>
        <v>0.13419</v>
      </c>
      <c r="AA25" s="1" cm="1">
        <f t="array" aca="1" ref="AA25" ca="1">INDIRECT("RawData!"&amp;ADDRESS($C$5+$A25,AA$6))</f>
        <v>2.1219999999999999E-2</v>
      </c>
    </row>
    <row r="26" spans="1:27" x14ac:dyDescent="0.3">
      <c r="A26" s="1">
        <v>15</v>
      </c>
      <c r="C26" s="1" t="str" cm="1">
        <f t="array" aca="1" ref="C26" ca="1">INDIRECT("RawData!A"&amp;TEXT(C$5+A26,"0"))</f>
        <v>Test2/gpp_w_lu2_o3.x</v>
      </c>
      <c r="D26" s="1" cm="1">
        <f t="array" aca="1" ref="D26" ca="1">INDIRECT("RawData!"&amp;ADDRESS($C$5+$A26,D$6))</f>
        <v>9.9120000000000008</v>
      </c>
      <c r="E26" s="1" cm="1">
        <f t="array" aca="1" ref="E26" ca="1">INDIRECT("RawData!"&amp;ADDRESS($C$5+$A26,E$6))</f>
        <v>0.26999000000000001</v>
      </c>
      <c r="F26" s="1" cm="1">
        <f t="array" aca="1" ref="F26" ca="1">INDIRECT("RawData!"&amp;ADDRESS($C$5+$A26,F$6))</f>
        <v>4.2689999999999999E-2</v>
      </c>
      <c r="G26" s="1" cm="1">
        <f t="array" aca="1" ref="G26" ca="1">INDIRECT("RawData!"&amp;ADDRESS($C$5+$A26,G$6))</f>
        <v>9.9659999999999993</v>
      </c>
      <c r="H26" s="1" cm="1">
        <f t="array" aca="1" ref="H26" ca="1">INDIRECT("RawData!"&amp;ADDRESS($C$5+$A26,H$6))</f>
        <v>0.61426000000000003</v>
      </c>
      <c r="I26" s="1" cm="1">
        <f t="array" aca="1" ref="I26" ca="1">INDIRECT("RawData!"&amp;ADDRESS($C$5+$A26,I$6))</f>
        <v>9.7119999999999998E-2</v>
      </c>
      <c r="J26" s="1" cm="1">
        <f t="array" aca="1" ref="J26" ca="1">INDIRECT("RawData!"&amp;ADDRESS($C$5+$A26,J$6))</f>
        <v>3.859</v>
      </c>
      <c r="K26" s="1" cm="1">
        <f t="array" aca="1" ref="K26" ca="1">INDIRECT("RawData!"&amp;ADDRESS($C$5+$A26,K$6))</f>
        <v>0.22031999999999999</v>
      </c>
      <c r="L26" s="1" cm="1">
        <f t="array" aca="1" ref="L26" ca="1">INDIRECT("RawData!"&amp;ADDRESS($C$5+$A26,L$6))</f>
        <v>3.4840000000000003E-2</v>
      </c>
      <c r="M26" s="1" cm="1">
        <f t="array" aca="1" ref="M26" ca="1">INDIRECT("RawData!"&amp;ADDRESS($C$5+$A26,M$6))</f>
        <v>3.7869999999999999</v>
      </c>
      <c r="N26" s="1" cm="1">
        <f t="array" aca="1" ref="N26" ca="1">INDIRECT("RawData!"&amp;ADDRESS($C$5+$A26,N$6))</f>
        <v>0.28431000000000001</v>
      </c>
      <c r="O26" s="1" cm="1">
        <f t="array" aca="1" ref="O26" ca="1">INDIRECT("RawData!"&amp;ADDRESS($C$5+$A26,O$6))</f>
        <v>4.4949999999999997E-2</v>
      </c>
      <c r="P26" s="1" cm="1">
        <f t="array" aca="1" ref="P26" ca="1">INDIRECT("RawData!"&amp;ADDRESS($C$5+$A26,P$6))</f>
        <v>6.47</v>
      </c>
      <c r="Q26" s="1" cm="1">
        <f t="array" aca="1" ref="Q26" ca="1">INDIRECT("RawData!"&amp;ADDRESS($C$5+$A26,Q$6))</f>
        <v>1.4349799999999999</v>
      </c>
      <c r="R26" s="1" cm="1">
        <f t="array" aca="1" ref="R26" ca="1">INDIRECT("RawData!"&amp;ADDRESS($C$5+$A26,R$6))</f>
        <v>0.22689000000000001</v>
      </c>
      <c r="S26" s="1" cm="1">
        <f t="array" aca="1" ref="S26" ca="1">INDIRECT("RawData!"&amp;ADDRESS($C$5+$A26,S$6))</f>
        <v>5.64</v>
      </c>
      <c r="T26" s="1" cm="1">
        <f t="array" aca="1" ref="T26" ca="1">INDIRECT("RawData!"&amp;ADDRESS($C$5+$A26,T$6))</f>
        <v>1.6860999999999999</v>
      </c>
      <c r="U26" s="1" cm="1">
        <f t="array" aca="1" ref="U26" ca="1">INDIRECT("RawData!"&amp;ADDRESS($C$5+$A26,U$6))</f>
        <v>0.2666</v>
      </c>
      <c r="V26" s="1" cm="1">
        <f t="array" aca="1" ref="V26" ca="1">INDIRECT("RawData!"&amp;ADDRESS($C$5+$A26,V$6))</f>
        <v>8.7650000000000006</v>
      </c>
      <c r="W26" s="1" cm="1">
        <f t="array" aca="1" ref="W26" ca="1">INDIRECT("RawData!"&amp;ADDRESS($C$5+$A26,W$6))</f>
        <v>0.12286999999999999</v>
      </c>
      <c r="X26" s="1" cm="1">
        <f t="array" aca="1" ref="X26" ca="1">INDIRECT("RawData!"&amp;ADDRESS($C$5+$A26,X$6))</f>
        <v>1.9429999999999999E-2</v>
      </c>
      <c r="Y26" s="1" cm="1">
        <f t="array" aca="1" ref="Y26" ca="1">INDIRECT("RawData!"&amp;ADDRESS($C$5+$A26,Y$6))</f>
        <v>8.0090000000000003</v>
      </c>
      <c r="Z26" s="1" cm="1">
        <f t="array" aca="1" ref="Z26" ca="1">INDIRECT("RawData!"&amp;ADDRESS($C$5+$A26,Z$6))</f>
        <v>0.10462</v>
      </c>
      <c r="AA26" s="1" cm="1">
        <f t="array" aca="1" ref="AA26" ca="1">INDIRECT("RawData!"&amp;ADDRESS($C$5+$A26,AA$6))</f>
        <v>1.6539999999999999E-2</v>
      </c>
    </row>
    <row r="27" spans="1:27" x14ac:dyDescent="0.3">
      <c r="A27" s="1">
        <v>16</v>
      </c>
      <c r="C27" s="1" t="str" cm="1">
        <f t="array" aca="1" ref="C27" ca="1">INDIRECT("RawData!A"&amp;TEXT(C$5+A27,"0"))</f>
        <v>Test2/gpp_w_lu4.x</v>
      </c>
      <c r="D27" s="1" cm="1">
        <f t="array" aca="1" ref="D27" ca="1">INDIRECT("RawData!"&amp;ADDRESS($C$5+$A27,D$6))</f>
        <v>10.252000000000001</v>
      </c>
      <c r="E27" s="1" cm="1">
        <f t="array" aca="1" ref="E27" ca="1">INDIRECT("RawData!"&amp;ADDRESS($C$5+$A27,E$6))</f>
        <v>0.50478999999999996</v>
      </c>
      <c r="F27" s="1" cm="1">
        <f t="array" aca="1" ref="F27" ca="1">INDIRECT("RawData!"&amp;ADDRESS($C$5+$A27,F$6))</f>
        <v>7.9820000000000002E-2</v>
      </c>
      <c r="G27" s="1" cm="1">
        <f t="array" aca="1" ref="G27" ca="1">INDIRECT("RawData!"&amp;ADDRESS($C$5+$A27,G$6))</f>
        <v>10.268000000000001</v>
      </c>
      <c r="H27" s="1" cm="1">
        <f t="array" aca="1" ref="H27" ca="1">INDIRECT("RawData!"&amp;ADDRESS($C$5+$A27,H$6))</f>
        <v>0.66920000000000002</v>
      </c>
      <c r="I27" s="1" cm="1">
        <f t="array" aca="1" ref="I27" ca="1">INDIRECT("RawData!"&amp;ADDRESS($C$5+$A27,I$6))</f>
        <v>0.10581</v>
      </c>
      <c r="J27" s="1" cm="1">
        <f t="array" aca="1" ref="J27" ca="1">INDIRECT("RawData!"&amp;ADDRESS($C$5+$A27,J$6))</f>
        <v>3.8290000000000002</v>
      </c>
      <c r="K27" s="1" cm="1">
        <f t="array" aca="1" ref="K27" ca="1">INDIRECT("RawData!"&amp;ADDRESS($C$5+$A27,K$6))</f>
        <v>0.21368000000000001</v>
      </c>
      <c r="L27" s="1" cm="1">
        <f t="array" aca="1" ref="L27" ca="1">INDIRECT("RawData!"&amp;ADDRESS($C$5+$A27,L$6))</f>
        <v>3.3790000000000001E-2</v>
      </c>
      <c r="M27" s="1" cm="1">
        <f t="array" aca="1" ref="M27" ca="1">INDIRECT("RawData!"&amp;ADDRESS($C$5+$A27,M$6))</f>
        <v>3.8759999999999999</v>
      </c>
      <c r="N27" s="1" cm="1">
        <f t="array" aca="1" ref="N27" ca="1">INDIRECT("RawData!"&amp;ADDRESS($C$5+$A27,N$6))</f>
        <v>0.22553999999999999</v>
      </c>
      <c r="O27" s="1" cm="1">
        <f t="array" aca="1" ref="O27" ca="1">INDIRECT("RawData!"&amp;ADDRESS($C$5+$A27,O$6))</f>
        <v>3.5659999999999997E-2</v>
      </c>
      <c r="P27" s="1" cm="1">
        <f t="array" aca="1" ref="P27" ca="1">INDIRECT("RawData!"&amp;ADDRESS($C$5+$A27,P$6))</f>
        <v>6.21</v>
      </c>
      <c r="Q27" s="1" cm="1">
        <f t="array" aca="1" ref="Q27" ca="1">INDIRECT("RawData!"&amp;ADDRESS($C$5+$A27,Q$6))</f>
        <v>0.52746999999999999</v>
      </c>
      <c r="R27" s="1" cm="1">
        <f t="array" aca="1" ref="R27" ca="1">INDIRECT("RawData!"&amp;ADDRESS($C$5+$A27,R$6))</f>
        <v>8.3400000000000002E-2</v>
      </c>
      <c r="S27" s="1" cm="1">
        <f t="array" aca="1" ref="S27" ca="1">INDIRECT("RawData!"&amp;ADDRESS($C$5+$A27,S$6))</f>
        <v>6.3179999999999996</v>
      </c>
      <c r="T27" s="1" cm="1">
        <f t="array" aca="1" ref="T27" ca="1">INDIRECT("RawData!"&amp;ADDRESS($C$5+$A27,T$6))</f>
        <v>1.3427800000000001</v>
      </c>
      <c r="U27" s="1" cm="1">
        <f t="array" aca="1" ref="U27" ca="1">INDIRECT("RawData!"&amp;ADDRESS($C$5+$A27,U$6))</f>
        <v>0.21231</v>
      </c>
      <c r="V27" s="1" cm="1">
        <f t="array" aca="1" ref="V27" ca="1">INDIRECT("RawData!"&amp;ADDRESS($C$5+$A27,V$6))</f>
        <v>9.1170000000000009</v>
      </c>
      <c r="W27" s="1" cm="1">
        <f t="array" aca="1" ref="W27" ca="1">INDIRECT("RawData!"&amp;ADDRESS($C$5+$A27,W$6))</f>
        <v>0.14082</v>
      </c>
      <c r="X27" s="1" cm="1">
        <f t="array" aca="1" ref="X27" ca="1">INDIRECT("RawData!"&amp;ADDRESS($C$5+$A27,X$6))</f>
        <v>2.2259999999999999E-2</v>
      </c>
      <c r="Y27" s="1" cm="1">
        <f t="array" aca="1" ref="Y27" ca="1">INDIRECT("RawData!"&amp;ADDRESS($C$5+$A27,Y$6))</f>
        <v>9.0259999999999998</v>
      </c>
      <c r="Z27" s="1" cm="1">
        <f t="array" aca="1" ref="Z27" ca="1">INDIRECT("RawData!"&amp;ADDRESS($C$5+$A27,Z$6))</f>
        <v>0.17044999999999999</v>
      </c>
      <c r="AA27" s="1" cm="1">
        <f t="array" aca="1" ref="AA27" ca="1">INDIRECT("RawData!"&amp;ADDRESS($C$5+$A27,AA$6))</f>
        <v>2.6950000000000002E-2</v>
      </c>
    </row>
    <row r="28" spans="1:27" x14ac:dyDescent="0.3">
      <c r="A28" s="1">
        <v>17</v>
      </c>
      <c r="C28" s="1" t="str" cm="1">
        <f t="array" aca="1" ref="C28" ca="1">INDIRECT("RawData!A"&amp;TEXT(C$5+A28,"0"))</f>
        <v>Test2/gpp_w_lu8.x</v>
      </c>
      <c r="D28" s="1" cm="1">
        <f t="array" aca="1" ref="D28" ca="1">INDIRECT("RawData!"&amp;ADDRESS($C$5+$A28,D$6))</f>
        <v>10.201000000000001</v>
      </c>
      <c r="E28" s="1" cm="1">
        <f t="array" aca="1" ref="E28" ca="1">INDIRECT("RawData!"&amp;ADDRESS($C$5+$A28,E$6))</f>
        <v>0.41632000000000002</v>
      </c>
      <c r="F28" s="1" cm="1">
        <f t="array" aca="1" ref="F28" ca="1">INDIRECT("RawData!"&amp;ADDRESS($C$5+$A28,F$6))</f>
        <v>6.583E-2</v>
      </c>
      <c r="G28" s="1" cm="1">
        <f t="array" aca="1" ref="G28" ca="1">INDIRECT("RawData!"&amp;ADDRESS($C$5+$A28,G$6))</f>
        <v>10.256</v>
      </c>
      <c r="H28" s="1" cm="1">
        <f t="array" aca="1" ref="H28" ca="1">INDIRECT("RawData!"&amp;ADDRESS($C$5+$A28,H$6))</f>
        <v>0.49378</v>
      </c>
      <c r="I28" s="1" cm="1">
        <f t="array" aca="1" ref="I28" ca="1">INDIRECT("RawData!"&amp;ADDRESS($C$5+$A28,I$6))</f>
        <v>7.8070000000000001E-2</v>
      </c>
      <c r="J28" s="1" cm="1">
        <f t="array" aca="1" ref="J28" ca="1">INDIRECT("RawData!"&amp;ADDRESS($C$5+$A28,J$6))</f>
        <v>3.8159999999999998</v>
      </c>
      <c r="K28" s="1" cm="1">
        <f t="array" aca="1" ref="K28" ca="1">INDIRECT("RawData!"&amp;ADDRESS($C$5+$A28,K$6))</f>
        <v>0.15484000000000001</v>
      </c>
      <c r="L28" s="1" cm="1">
        <f t="array" aca="1" ref="L28" ca="1">INDIRECT("RawData!"&amp;ADDRESS($C$5+$A28,L$6))</f>
        <v>2.4479999999999998E-2</v>
      </c>
      <c r="M28" s="1" cm="1">
        <f t="array" aca="1" ref="M28" ca="1">INDIRECT("RawData!"&amp;ADDRESS($C$5+$A28,M$6))</f>
        <v>3.8250000000000002</v>
      </c>
      <c r="N28" s="1" cm="1">
        <f t="array" aca="1" ref="N28" ca="1">INDIRECT("RawData!"&amp;ADDRESS($C$5+$A28,N$6))</f>
        <v>0.27082000000000001</v>
      </c>
      <c r="O28" s="1" cm="1">
        <f t="array" aca="1" ref="O28" ca="1">INDIRECT("RawData!"&amp;ADDRESS($C$5+$A28,O$6))</f>
        <v>4.2819999999999997E-2</v>
      </c>
      <c r="P28" s="1" cm="1">
        <f t="array" aca="1" ref="P28" ca="1">INDIRECT("RawData!"&amp;ADDRESS($C$5+$A28,P$6))</f>
        <v>6.91</v>
      </c>
      <c r="Q28" s="1" cm="1">
        <f t="array" aca="1" ref="Q28" ca="1">INDIRECT("RawData!"&amp;ADDRESS($C$5+$A28,Q$6))</f>
        <v>0.92649999999999999</v>
      </c>
      <c r="R28" s="1" cm="1">
        <f t="array" aca="1" ref="R28" ca="1">INDIRECT("RawData!"&amp;ADDRESS($C$5+$A28,R$6))</f>
        <v>0.14649000000000001</v>
      </c>
      <c r="S28" s="1" cm="1">
        <f t="array" aca="1" ref="S28" ca="1">INDIRECT("RawData!"&amp;ADDRESS($C$5+$A28,S$6))</f>
        <v>6.95</v>
      </c>
      <c r="T28" s="1" cm="1">
        <f t="array" aca="1" ref="T28" ca="1">INDIRECT("RawData!"&amp;ADDRESS($C$5+$A28,T$6))</f>
        <v>1.22997</v>
      </c>
      <c r="U28" s="1" cm="1">
        <f t="array" aca="1" ref="U28" ca="1">INDIRECT("RawData!"&amp;ADDRESS($C$5+$A28,U$6))</f>
        <v>0.19447999999999999</v>
      </c>
      <c r="V28" s="1" cm="1">
        <f t="array" aca="1" ref="V28" ca="1">INDIRECT("RawData!"&amp;ADDRESS($C$5+$A28,V$6))</f>
        <v>9.0310000000000006</v>
      </c>
      <c r="W28" s="1" cm="1">
        <f t="array" aca="1" ref="W28" ca="1">INDIRECT("RawData!"&amp;ADDRESS($C$5+$A28,W$6))</f>
        <v>9.0509999999999993E-2</v>
      </c>
      <c r="X28" s="1" cm="1">
        <f t="array" aca="1" ref="X28" ca="1">INDIRECT("RawData!"&amp;ADDRESS($C$5+$A28,X$6))</f>
        <v>1.431E-2</v>
      </c>
      <c r="Y28" s="1" cm="1">
        <f t="array" aca="1" ref="Y28" ca="1">INDIRECT("RawData!"&amp;ADDRESS($C$5+$A28,Y$6))</f>
        <v>9.0289999999999999</v>
      </c>
      <c r="Z28" s="1" cm="1">
        <f t="array" aca="1" ref="Z28" ca="1">INDIRECT("RawData!"&amp;ADDRESS($C$5+$A28,Z$6))</f>
        <v>0.14276</v>
      </c>
      <c r="AA28" s="1" cm="1">
        <f t="array" aca="1" ref="AA28" ca="1">INDIRECT("RawData!"&amp;ADDRESS($C$5+$A28,AA$6))</f>
        <v>2.257E-2</v>
      </c>
    </row>
    <row r="29" spans="1:27" x14ac:dyDescent="0.3">
      <c r="A29" s="1">
        <v>18</v>
      </c>
      <c r="C29" s="1" t="str" cm="1">
        <f t="array" aca="1" ref="C29" ca="1">INDIRECT("RawData!A"&amp;TEXT(C$5+A29,"0"))</f>
        <v>Test2/icx.x</v>
      </c>
      <c r="D29" s="1" cm="1">
        <f t="array" aca="1" ref="D29" ca="1">INDIRECT("RawData!"&amp;ADDRESS($C$5+$A29,D$6))</f>
        <v>10.114000000000001</v>
      </c>
      <c r="E29" s="1" cm="1">
        <f t="array" aca="1" ref="E29" ca="1">INDIRECT("RawData!"&amp;ADDRESS($C$5+$A29,E$6))</f>
        <v>0.38980999999999999</v>
      </c>
      <c r="F29" s="1" cm="1">
        <f t="array" aca="1" ref="F29" ca="1">INDIRECT("RawData!"&amp;ADDRESS($C$5+$A29,F$6))</f>
        <v>6.1629999999999997E-2</v>
      </c>
      <c r="G29" s="1" cm="1">
        <f t="array" aca="1" ref="G29" ca="1">INDIRECT("RawData!"&amp;ADDRESS($C$5+$A29,G$6))</f>
        <v>10.128</v>
      </c>
      <c r="H29" s="1" cm="1">
        <f t="array" aca="1" ref="H29" ca="1">INDIRECT("RawData!"&amp;ADDRESS($C$5+$A29,H$6))</f>
        <v>0.65098999999999996</v>
      </c>
      <c r="I29" s="1" cm="1">
        <f t="array" aca="1" ref="I29" ca="1">INDIRECT("RawData!"&amp;ADDRESS($C$5+$A29,I$6))</f>
        <v>0.10292999999999999</v>
      </c>
      <c r="J29" s="1" cm="1">
        <f t="array" aca="1" ref="J29" ca="1">INDIRECT("RawData!"&amp;ADDRESS($C$5+$A29,J$6))</f>
        <v>3.7080000000000002</v>
      </c>
      <c r="K29" s="1" cm="1">
        <f t="array" aca="1" ref="K29" ca="1">INDIRECT("RawData!"&amp;ADDRESS($C$5+$A29,K$6))</f>
        <v>0.17332</v>
      </c>
      <c r="L29" s="1" cm="1">
        <f t="array" aca="1" ref="L29" ca="1">INDIRECT("RawData!"&amp;ADDRESS($C$5+$A29,L$6))</f>
        <v>2.7400000000000001E-2</v>
      </c>
      <c r="M29" s="1" cm="1">
        <f t="array" aca="1" ref="M29" ca="1">INDIRECT("RawData!"&amp;ADDRESS($C$5+$A29,M$6))</f>
        <v>3.8109999999999999</v>
      </c>
      <c r="N29" s="1" cm="1">
        <f t="array" aca="1" ref="N29" ca="1">INDIRECT("RawData!"&amp;ADDRESS($C$5+$A29,N$6))</f>
        <v>0.25662000000000001</v>
      </c>
      <c r="O29" s="1" cm="1">
        <f t="array" aca="1" ref="O29" ca="1">INDIRECT("RawData!"&amp;ADDRESS($C$5+$A29,O$6))</f>
        <v>4.0579999999999998E-2</v>
      </c>
      <c r="P29" s="1" cm="1">
        <f t="array" aca="1" ref="P29" ca="1">INDIRECT("RawData!"&amp;ADDRESS($C$5+$A29,P$6))</f>
        <v>0</v>
      </c>
      <c r="Q29" s="1" cm="1">
        <f t="array" aca="1" ref="Q29" ca="1">INDIRECT("RawData!"&amp;ADDRESS($C$5+$A29,Q$6))</f>
        <v>0</v>
      </c>
      <c r="R29" s="1" cm="1">
        <f t="array" aca="1" ref="R29" ca="1">INDIRECT("RawData!"&amp;ADDRESS($C$5+$A29,R$6))</f>
        <v>0</v>
      </c>
      <c r="S29" s="1" cm="1">
        <f t="array" aca="1" ref="S29" ca="1">INDIRECT("RawData!"&amp;ADDRESS($C$5+$A29,S$6))</f>
        <v>0</v>
      </c>
      <c r="T29" s="1" cm="1">
        <f t="array" aca="1" ref="T29" ca="1">INDIRECT("RawData!"&amp;ADDRESS($C$5+$A29,T$6))</f>
        <v>0</v>
      </c>
      <c r="U29" s="1" cm="1">
        <f t="array" aca="1" ref="U29" ca="1">INDIRECT("RawData!"&amp;ADDRESS($C$5+$A29,U$6))</f>
        <v>0</v>
      </c>
      <c r="V29" s="1" cm="1">
        <f t="array" aca="1" ref="V29" ca="1">INDIRECT("RawData!"&amp;ADDRESS($C$5+$A29,V$6))</f>
        <v>8.6969999999999992</v>
      </c>
      <c r="W29" s="1" cm="1">
        <f t="array" aca="1" ref="W29" ca="1">INDIRECT("RawData!"&amp;ADDRESS($C$5+$A29,W$6))</f>
        <v>0.11565</v>
      </c>
      <c r="X29" s="1" cm="1">
        <f t="array" aca="1" ref="X29" ca="1">INDIRECT("RawData!"&amp;ADDRESS($C$5+$A29,X$6))</f>
        <v>1.8290000000000001E-2</v>
      </c>
      <c r="Y29" s="1" cm="1">
        <f t="array" aca="1" ref="Y29" ca="1">INDIRECT("RawData!"&amp;ADDRESS($C$5+$A29,Y$6))</f>
        <v>8.0239999999999991</v>
      </c>
      <c r="Z29" s="1" cm="1">
        <f t="array" aca="1" ref="Z29" ca="1">INDIRECT("RawData!"&amp;ADDRESS($C$5+$A29,Z$6))</f>
        <v>8.7410000000000002E-2</v>
      </c>
      <c r="AA29" s="1" cm="1">
        <f t="array" aca="1" ref="AA29" ca="1">INDIRECT("RawData!"&amp;ADDRESS($C$5+$A29,AA$6))</f>
        <v>1.3820000000000001E-2</v>
      </c>
    </row>
    <row r="30" spans="1:27" x14ac:dyDescent="0.3">
      <c r="A30" s="1">
        <v>19</v>
      </c>
      <c r="C30" s="1" t="str" cm="1">
        <f t="array" aca="1" ref="C30" ca="1">INDIRECT("RawData!A"&amp;TEXT(C$5+A30,"0"))</f>
        <v>Test2/icx_o3.x</v>
      </c>
      <c r="D30" s="1" cm="1">
        <f t="array" aca="1" ref="D30" ca="1">INDIRECT("RawData!"&amp;ADDRESS($C$5+$A30,D$6))</f>
        <v>10.196999999999999</v>
      </c>
      <c r="E30" s="1" cm="1">
        <f t="array" aca="1" ref="E30" ca="1">INDIRECT("RawData!"&amp;ADDRESS($C$5+$A30,E$6))</f>
        <v>0.41316999999999998</v>
      </c>
      <c r="F30" s="1" cm="1">
        <f t="array" aca="1" ref="F30" ca="1">INDIRECT("RawData!"&amp;ADDRESS($C$5+$A30,F$6))</f>
        <v>6.5329999999999999E-2</v>
      </c>
      <c r="G30" s="1" cm="1">
        <f t="array" aca="1" ref="G30" ca="1">INDIRECT("RawData!"&amp;ADDRESS($C$5+$A30,G$6))</f>
        <v>9.8379999999999992</v>
      </c>
      <c r="H30" s="1" cm="1">
        <f t="array" aca="1" ref="H30" ca="1">INDIRECT("RawData!"&amp;ADDRESS($C$5+$A30,H$6))</f>
        <v>0.58477999999999997</v>
      </c>
      <c r="I30" s="1" cm="1">
        <f t="array" aca="1" ref="I30" ca="1">INDIRECT("RawData!"&amp;ADDRESS($C$5+$A30,I$6))</f>
        <v>9.2460000000000001E-2</v>
      </c>
      <c r="J30" s="1" cm="1">
        <f t="array" aca="1" ref="J30" ca="1">INDIRECT("RawData!"&amp;ADDRESS($C$5+$A30,J$6))</f>
        <v>3.73</v>
      </c>
      <c r="K30" s="1" cm="1">
        <f t="array" aca="1" ref="K30" ca="1">INDIRECT("RawData!"&amp;ADDRESS($C$5+$A30,K$6))</f>
        <v>0.19036</v>
      </c>
      <c r="L30" s="1" cm="1">
        <f t="array" aca="1" ref="L30" ca="1">INDIRECT("RawData!"&amp;ADDRESS($C$5+$A30,L$6))</f>
        <v>3.0099999999999998E-2</v>
      </c>
      <c r="M30" s="1" cm="1">
        <f t="array" aca="1" ref="M30" ca="1">INDIRECT("RawData!"&amp;ADDRESS($C$5+$A30,M$6))</f>
        <v>3.6469999999999998</v>
      </c>
      <c r="N30" s="1" cm="1">
        <f t="array" aca="1" ref="N30" ca="1">INDIRECT("RawData!"&amp;ADDRESS($C$5+$A30,N$6))</f>
        <v>0.19663</v>
      </c>
      <c r="O30" s="1" cm="1">
        <f t="array" aca="1" ref="O30" ca="1">INDIRECT("RawData!"&amp;ADDRESS($C$5+$A30,O$6))</f>
        <v>3.109E-2</v>
      </c>
      <c r="P30" s="1" cm="1">
        <f t="array" aca="1" ref="P30" ca="1">INDIRECT("RawData!"&amp;ADDRESS($C$5+$A30,P$6))</f>
        <v>0</v>
      </c>
      <c r="Q30" s="1" cm="1">
        <f t="array" aca="1" ref="Q30" ca="1">INDIRECT("RawData!"&amp;ADDRESS($C$5+$A30,Q$6))</f>
        <v>0</v>
      </c>
      <c r="R30" s="1" cm="1">
        <f t="array" aca="1" ref="R30" ca="1">INDIRECT("RawData!"&amp;ADDRESS($C$5+$A30,R$6))</f>
        <v>0</v>
      </c>
      <c r="S30" s="1" cm="1">
        <f t="array" aca="1" ref="S30" ca="1">INDIRECT("RawData!"&amp;ADDRESS($C$5+$A30,S$6))</f>
        <v>0</v>
      </c>
      <c r="T30" s="1" cm="1">
        <f t="array" aca="1" ref="T30" ca="1">INDIRECT("RawData!"&amp;ADDRESS($C$5+$A30,T$6))</f>
        <v>0</v>
      </c>
      <c r="U30" s="1" cm="1">
        <f t="array" aca="1" ref="U30" ca="1">INDIRECT("RawData!"&amp;ADDRESS($C$5+$A30,U$6))</f>
        <v>0</v>
      </c>
      <c r="V30" s="1" cm="1">
        <f t="array" aca="1" ref="V30" ca="1">INDIRECT("RawData!"&amp;ADDRESS($C$5+$A30,V$6))</f>
        <v>8.6440000000000001</v>
      </c>
      <c r="W30" s="1" cm="1">
        <f t="array" aca="1" ref="W30" ca="1">INDIRECT("RawData!"&amp;ADDRESS($C$5+$A30,W$6))</f>
        <v>0.11126999999999999</v>
      </c>
      <c r="X30" s="1" cm="1">
        <f t="array" aca="1" ref="X30" ca="1">INDIRECT("RawData!"&amp;ADDRESS($C$5+$A30,X$6))</f>
        <v>1.7590000000000001E-2</v>
      </c>
      <c r="Y30" s="1" cm="1">
        <f t="array" aca="1" ref="Y30" ca="1">INDIRECT("RawData!"&amp;ADDRESS($C$5+$A30,Y$6))</f>
        <v>8.032</v>
      </c>
      <c r="Z30" s="1" cm="1">
        <f t="array" aca="1" ref="Z30" ca="1">INDIRECT("RawData!"&amp;ADDRESS($C$5+$A30,Z$6))</f>
        <v>0.13800000000000001</v>
      </c>
      <c r="AA30" s="1" cm="1">
        <f t="array" aca="1" ref="AA30" ca="1">INDIRECT("RawData!"&amp;ADDRESS($C$5+$A30,AA$6))</f>
        <v>2.1819999999999999E-2</v>
      </c>
    </row>
    <row r="31" spans="1:27" x14ac:dyDescent="0.3">
      <c r="A31" s="1">
        <v>20</v>
      </c>
      <c r="C31" s="1" t="str" cm="1">
        <f t="array" aca="1" ref="C31" ca="1">INDIRECT("RawData!A"&amp;TEXT(C$5+A31,"0"))</f>
        <v>Test2/icx_w_lu2.x</v>
      </c>
      <c r="D31" s="1" cm="1">
        <f t="array" aca="1" ref="D31" ca="1">INDIRECT("RawData!"&amp;ADDRESS($C$5+$A31,D$6))</f>
        <v>10.013999999999999</v>
      </c>
      <c r="E31" s="1" cm="1">
        <f t="array" aca="1" ref="E31" ca="1">INDIRECT("RawData!"&amp;ADDRESS($C$5+$A31,E$6))</f>
        <v>0.25319000000000003</v>
      </c>
      <c r="F31" s="1" cm="1">
        <f t="array" aca="1" ref="F31" ca="1">INDIRECT("RawData!"&amp;ADDRESS($C$5+$A31,F$6))</f>
        <v>4.0030000000000003E-2</v>
      </c>
      <c r="G31" s="1" cm="1">
        <f t="array" aca="1" ref="G31" ca="1">INDIRECT("RawData!"&amp;ADDRESS($C$5+$A31,G$6))</f>
        <v>9.6790000000000003</v>
      </c>
      <c r="H31" s="1" cm="1">
        <f t="array" aca="1" ref="H31" ca="1">INDIRECT("RawData!"&amp;ADDRESS($C$5+$A31,H$6))</f>
        <v>0.70396000000000003</v>
      </c>
      <c r="I31" s="1" cm="1">
        <f t="array" aca="1" ref="I31" ca="1">INDIRECT("RawData!"&amp;ADDRESS($C$5+$A31,I$6))</f>
        <v>0.11131000000000001</v>
      </c>
      <c r="J31" s="1" cm="1">
        <f t="array" aca="1" ref="J31" ca="1">INDIRECT("RawData!"&amp;ADDRESS($C$5+$A31,J$6))</f>
        <v>3.843</v>
      </c>
      <c r="K31" s="1" cm="1">
        <f t="array" aca="1" ref="K31" ca="1">INDIRECT("RawData!"&amp;ADDRESS($C$5+$A31,K$6))</f>
        <v>0.25131999999999999</v>
      </c>
      <c r="L31" s="1" cm="1">
        <f t="array" aca="1" ref="L31" ca="1">INDIRECT("RawData!"&amp;ADDRESS($C$5+$A31,L$6))</f>
        <v>3.9739999999999998E-2</v>
      </c>
      <c r="M31" s="1" cm="1">
        <f t="array" aca="1" ref="M31" ca="1">INDIRECT("RawData!"&amp;ADDRESS($C$5+$A31,M$6))</f>
        <v>3.6339999999999999</v>
      </c>
      <c r="N31" s="1" cm="1">
        <f t="array" aca="1" ref="N31" ca="1">INDIRECT("RawData!"&amp;ADDRESS($C$5+$A31,N$6))</f>
        <v>0.20802000000000001</v>
      </c>
      <c r="O31" s="1" cm="1">
        <f t="array" aca="1" ref="O31" ca="1">INDIRECT("RawData!"&amp;ADDRESS($C$5+$A31,O$6))</f>
        <v>3.2890000000000003E-2</v>
      </c>
      <c r="P31" s="1" cm="1">
        <f t="array" aca="1" ref="P31" ca="1">INDIRECT("RawData!"&amp;ADDRESS($C$5+$A31,P$6))</f>
        <v>0</v>
      </c>
      <c r="Q31" s="1" cm="1">
        <f t="array" aca="1" ref="Q31" ca="1">INDIRECT("RawData!"&amp;ADDRESS($C$5+$A31,Q$6))</f>
        <v>0</v>
      </c>
      <c r="R31" s="1" cm="1">
        <f t="array" aca="1" ref="R31" ca="1">INDIRECT("RawData!"&amp;ADDRESS($C$5+$A31,R$6))</f>
        <v>0</v>
      </c>
      <c r="S31" s="1" cm="1">
        <f t="array" aca="1" ref="S31" ca="1">INDIRECT("RawData!"&amp;ADDRESS($C$5+$A31,S$6))</f>
        <v>0</v>
      </c>
      <c r="T31" s="1" cm="1">
        <f t="array" aca="1" ref="T31" ca="1">INDIRECT("RawData!"&amp;ADDRESS($C$5+$A31,T$6))</f>
        <v>0</v>
      </c>
      <c r="U31" s="1" cm="1">
        <f t="array" aca="1" ref="U31" ca="1">INDIRECT("RawData!"&amp;ADDRESS($C$5+$A31,U$6))</f>
        <v>0</v>
      </c>
      <c r="V31" s="1" cm="1">
        <f t="array" aca="1" ref="V31" ca="1">INDIRECT("RawData!"&amp;ADDRESS($C$5+$A31,V$6))</f>
        <v>8.6709999999999994</v>
      </c>
      <c r="W31" s="1" cm="1">
        <f t="array" aca="1" ref="W31" ca="1">INDIRECT("RawData!"&amp;ADDRESS($C$5+$A31,W$6))</f>
        <v>8.6999999999999994E-2</v>
      </c>
      <c r="X31" s="1" cm="1">
        <f t="array" aca="1" ref="X31" ca="1">INDIRECT("RawData!"&amp;ADDRESS($C$5+$A31,X$6))</f>
        <v>1.376E-2</v>
      </c>
      <c r="Y31" s="1" cm="1">
        <f t="array" aca="1" ref="Y31" ca="1">INDIRECT("RawData!"&amp;ADDRESS($C$5+$A31,Y$6))</f>
        <v>7.9809999999999999</v>
      </c>
      <c r="Z31" s="1" cm="1">
        <f t="array" aca="1" ref="Z31" ca="1">INDIRECT("RawData!"&amp;ADDRESS($C$5+$A31,Z$6))</f>
        <v>7.6050000000000006E-2</v>
      </c>
      <c r="AA31" s="1" cm="1">
        <f t="array" aca="1" ref="AA31" ca="1">INDIRECT("RawData!"&amp;ADDRESS($C$5+$A31,AA$6))</f>
        <v>1.2019999999999999E-2</v>
      </c>
    </row>
    <row r="32" spans="1:27" x14ac:dyDescent="0.3">
      <c r="A32" s="1">
        <v>21</v>
      </c>
      <c r="C32" s="1" t="str" cm="1">
        <f t="array" aca="1" ref="C32" ca="1">INDIRECT("RawData!A"&amp;TEXT(C$5+A32,"0"))</f>
        <v>Test2/icx_w_lu2_o3.x</v>
      </c>
      <c r="D32" s="1" cm="1">
        <f t="array" aca="1" ref="D32" ca="1">INDIRECT("RawData!"&amp;ADDRESS($C$5+$A32,D$6))</f>
        <v>10.131</v>
      </c>
      <c r="E32" s="1" cm="1">
        <f t="array" aca="1" ref="E32" ca="1">INDIRECT("RawData!"&amp;ADDRESS($C$5+$A32,E$6))</f>
        <v>0.40046999999999999</v>
      </c>
      <c r="F32" s="1" cm="1">
        <f t="array" aca="1" ref="F32" ca="1">INDIRECT("RawData!"&amp;ADDRESS($C$5+$A32,F$6))</f>
        <v>6.3320000000000001E-2</v>
      </c>
      <c r="G32" s="1" cm="1">
        <f t="array" aca="1" ref="G32" ca="1">INDIRECT("RawData!"&amp;ADDRESS($C$5+$A32,G$6))</f>
        <v>10.273999999999999</v>
      </c>
      <c r="H32" s="1" cm="1">
        <f t="array" aca="1" ref="H32" ca="1">INDIRECT("RawData!"&amp;ADDRESS($C$5+$A32,H$6))</f>
        <v>0.73075999999999997</v>
      </c>
      <c r="I32" s="1" cm="1">
        <f t="array" aca="1" ref="I32" ca="1">INDIRECT("RawData!"&amp;ADDRESS($C$5+$A32,I$6))</f>
        <v>0.11554</v>
      </c>
      <c r="J32" s="1" cm="1">
        <f t="array" aca="1" ref="J32" ca="1">INDIRECT("RawData!"&amp;ADDRESS($C$5+$A32,J$6))</f>
        <v>3.85</v>
      </c>
      <c r="K32" s="1" cm="1">
        <f t="array" aca="1" ref="K32" ca="1">INDIRECT("RawData!"&amp;ADDRESS($C$5+$A32,K$6))</f>
        <v>0.21709000000000001</v>
      </c>
      <c r="L32" s="1" cm="1">
        <f t="array" aca="1" ref="L32" ca="1">INDIRECT("RawData!"&amp;ADDRESS($C$5+$A32,L$6))</f>
        <v>3.4320000000000003E-2</v>
      </c>
      <c r="M32" s="1" cm="1">
        <f t="array" aca="1" ref="M32" ca="1">INDIRECT("RawData!"&amp;ADDRESS($C$5+$A32,M$6))</f>
        <v>3.7080000000000002</v>
      </c>
      <c r="N32" s="1" cm="1">
        <f t="array" aca="1" ref="N32" ca="1">INDIRECT("RawData!"&amp;ADDRESS($C$5+$A32,N$6))</f>
        <v>0.24102000000000001</v>
      </c>
      <c r="O32" s="1" cm="1">
        <f t="array" aca="1" ref="O32" ca="1">INDIRECT("RawData!"&amp;ADDRESS($C$5+$A32,O$6))</f>
        <v>3.8109999999999998E-2</v>
      </c>
      <c r="P32" s="1" cm="1">
        <f t="array" aca="1" ref="P32" ca="1">INDIRECT("RawData!"&amp;ADDRESS($C$5+$A32,P$6))</f>
        <v>0</v>
      </c>
      <c r="Q32" s="1" cm="1">
        <f t="array" aca="1" ref="Q32" ca="1">INDIRECT("RawData!"&amp;ADDRESS($C$5+$A32,Q$6))</f>
        <v>0</v>
      </c>
      <c r="R32" s="1" cm="1">
        <f t="array" aca="1" ref="R32" ca="1">INDIRECT("RawData!"&amp;ADDRESS($C$5+$A32,R$6))</f>
        <v>0</v>
      </c>
      <c r="S32" s="1" cm="1">
        <f t="array" aca="1" ref="S32" ca="1">INDIRECT("RawData!"&amp;ADDRESS($C$5+$A32,S$6))</f>
        <v>0</v>
      </c>
      <c r="T32" s="1" cm="1">
        <f t="array" aca="1" ref="T32" ca="1">INDIRECT("RawData!"&amp;ADDRESS($C$5+$A32,T$6))</f>
        <v>0</v>
      </c>
      <c r="U32" s="1" cm="1">
        <f t="array" aca="1" ref="U32" ca="1">INDIRECT("RawData!"&amp;ADDRESS($C$5+$A32,U$6))</f>
        <v>0</v>
      </c>
      <c r="V32" s="1" cm="1">
        <f t="array" aca="1" ref="V32" ca="1">INDIRECT("RawData!"&amp;ADDRESS($C$5+$A32,V$6))</f>
        <v>8.6129999999999995</v>
      </c>
      <c r="W32" s="1" cm="1">
        <f t="array" aca="1" ref="W32" ca="1">INDIRECT("RawData!"&amp;ADDRESS($C$5+$A32,W$6))</f>
        <v>0.11376</v>
      </c>
      <c r="X32" s="1" cm="1">
        <f t="array" aca="1" ref="X32" ca="1">INDIRECT("RawData!"&amp;ADDRESS($C$5+$A32,X$6))</f>
        <v>1.7989999999999999E-2</v>
      </c>
      <c r="Y32" s="1" cm="1">
        <f t="array" aca="1" ref="Y32" ca="1">INDIRECT("RawData!"&amp;ADDRESS($C$5+$A32,Y$6))</f>
        <v>8.01</v>
      </c>
      <c r="Z32" s="1" cm="1">
        <f t="array" aca="1" ref="Z32" ca="1">INDIRECT("RawData!"&amp;ADDRESS($C$5+$A32,Z$6))</f>
        <v>8.2699999999999996E-2</v>
      </c>
      <c r="AA32" s="1" cm="1">
        <f t="array" aca="1" ref="AA32" ca="1">INDIRECT("RawData!"&amp;ADDRESS($C$5+$A32,AA$6))</f>
        <v>1.308E-2</v>
      </c>
    </row>
    <row r="33" spans="1:27" x14ac:dyDescent="0.3">
      <c r="A33" s="1">
        <v>22</v>
      </c>
      <c r="C33" s="1" t="str" cm="1">
        <f t="array" aca="1" ref="C33" ca="1">INDIRECT("RawData!A"&amp;TEXT(C$5+A33,"0"))</f>
        <v>Test2/icx_w_lu4.x</v>
      </c>
      <c r="D33" s="1" cm="1">
        <f t="array" aca="1" ref="D33" ca="1">INDIRECT("RawData!"&amp;ADDRESS($C$5+$A33,D$6))</f>
        <v>10.502000000000001</v>
      </c>
      <c r="E33" s="1" cm="1">
        <f t="array" aca="1" ref="E33" ca="1">INDIRECT("RawData!"&amp;ADDRESS($C$5+$A33,E$6))</f>
        <v>0.35571000000000003</v>
      </c>
      <c r="F33" s="1" cm="1">
        <f t="array" aca="1" ref="F33" ca="1">INDIRECT("RawData!"&amp;ADDRESS($C$5+$A33,F$6))</f>
        <v>5.6239999999999998E-2</v>
      </c>
      <c r="G33" s="1" cm="1">
        <f t="array" aca="1" ref="G33" ca="1">INDIRECT("RawData!"&amp;ADDRESS($C$5+$A33,G$6))</f>
        <v>10.311999999999999</v>
      </c>
      <c r="H33" s="1" cm="1">
        <f t="array" aca="1" ref="H33" ca="1">INDIRECT("RawData!"&amp;ADDRESS($C$5+$A33,H$6))</f>
        <v>0.64102999999999999</v>
      </c>
      <c r="I33" s="1" cm="1">
        <f t="array" aca="1" ref="I33" ca="1">INDIRECT("RawData!"&amp;ADDRESS($C$5+$A33,I$6))</f>
        <v>0.10136000000000001</v>
      </c>
      <c r="J33" s="1" cm="1">
        <f t="array" aca="1" ref="J33" ca="1">INDIRECT("RawData!"&amp;ADDRESS($C$5+$A33,J$6))</f>
        <v>3.7480000000000002</v>
      </c>
      <c r="K33" s="1" cm="1">
        <f t="array" aca="1" ref="K33" ca="1">INDIRECT("RawData!"&amp;ADDRESS($C$5+$A33,K$6))</f>
        <v>0.19427</v>
      </c>
      <c r="L33" s="1" cm="1">
        <f t="array" aca="1" ref="L33" ca="1">INDIRECT("RawData!"&amp;ADDRESS($C$5+$A33,L$6))</f>
        <v>3.0720000000000001E-2</v>
      </c>
      <c r="M33" s="1" cm="1">
        <f t="array" aca="1" ref="M33" ca="1">INDIRECT("RawData!"&amp;ADDRESS($C$5+$A33,M$6))</f>
        <v>3.71</v>
      </c>
      <c r="N33" s="1" cm="1">
        <f t="array" aca="1" ref="N33" ca="1">INDIRECT("RawData!"&amp;ADDRESS($C$5+$A33,N$6))</f>
        <v>0.19508</v>
      </c>
      <c r="O33" s="1" cm="1">
        <f t="array" aca="1" ref="O33" ca="1">INDIRECT("RawData!"&amp;ADDRESS($C$5+$A33,O$6))</f>
        <v>3.0849999999999999E-2</v>
      </c>
      <c r="P33" s="1" cm="1">
        <f t="array" aca="1" ref="P33" ca="1">INDIRECT("RawData!"&amp;ADDRESS($C$5+$A33,P$6))</f>
        <v>0</v>
      </c>
      <c r="Q33" s="1" cm="1">
        <f t="array" aca="1" ref="Q33" ca="1">INDIRECT("RawData!"&amp;ADDRESS($C$5+$A33,Q$6))</f>
        <v>0</v>
      </c>
      <c r="R33" s="1" cm="1">
        <f t="array" aca="1" ref="R33" ca="1">INDIRECT("RawData!"&amp;ADDRESS($C$5+$A33,R$6))</f>
        <v>0</v>
      </c>
      <c r="S33" s="1" cm="1">
        <f t="array" aca="1" ref="S33" ca="1">INDIRECT("RawData!"&amp;ADDRESS($C$5+$A33,S$6))</f>
        <v>0</v>
      </c>
      <c r="T33" s="1" cm="1">
        <f t="array" aca="1" ref="T33" ca="1">INDIRECT("RawData!"&amp;ADDRESS($C$5+$A33,T$6))</f>
        <v>0</v>
      </c>
      <c r="U33" s="1" cm="1">
        <f t="array" aca="1" ref="U33" ca="1">INDIRECT("RawData!"&amp;ADDRESS($C$5+$A33,U$6))</f>
        <v>0</v>
      </c>
      <c r="V33" s="1" cm="1">
        <f t="array" aca="1" ref="V33" ca="1">INDIRECT("RawData!"&amp;ADDRESS($C$5+$A33,V$6))</f>
        <v>8.6289999999999996</v>
      </c>
      <c r="W33" s="1" cm="1">
        <f t="array" aca="1" ref="W33" ca="1">INDIRECT("RawData!"&amp;ADDRESS($C$5+$A33,W$6))</f>
        <v>0.15192</v>
      </c>
      <c r="X33" s="1" cm="1">
        <f t="array" aca="1" ref="X33" ca="1">INDIRECT("RawData!"&amp;ADDRESS($C$5+$A33,X$6))</f>
        <v>2.402E-2</v>
      </c>
      <c r="Y33" s="1" cm="1">
        <f t="array" aca="1" ref="Y33" ca="1">INDIRECT("RawData!"&amp;ADDRESS($C$5+$A33,Y$6))</f>
        <v>8.0289999999999999</v>
      </c>
      <c r="Z33" s="1" cm="1">
        <f t="array" aca="1" ref="Z33" ca="1">INDIRECT("RawData!"&amp;ADDRESS($C$5+$A33,Z$6))</f>
        <v>9.2749999999999999E-2</v>
      </c>
      <c r="AA33" s="1" cm="1">
        <f t="array" aca="1" ref="AA33" ca="1">INDIRECT("RawData!"&amp;ADDRESS($C$5+$A33,AA$6))</f>
        <v>1.4659999999999999E-2</v>
      </c>
    </row>
    <row r="34" spans="1:27" x14ac:dyDescent="0.3">
      <c r="A34" s="1">
        <v>23</v>
      </c>
      <c r="C34" s="1" t="str" cm="1">
        <f t="array" aca="1" ref="C34" ca="1">INDIRECT("RawData!A"&amp;TEXT(C$5+A34,"0"))</f>
        <v>Test2/icx_w_lu8.x</v>
      </c>
      <c r="D34" s="1" cm="1">
        <f t="array" aca="1" ref="D34" ca="1">INDIRECT("RawData!"&amp;ADDRESS($C$5+$A34,D$6))</f>
        <v>10.43</v>
      </c>
      <c r="E34" s="1" cm="1">
        <f t="array" aca="1" ref="E34" ca="1">INDIRECT("RawData!"&amp;ADDRESS($C$5+$A34,E$6))</f>
        <v>0.48810999999999999</v>
      </c>
      <c r="F34" s="1" cm="1">
        <f t="array" aca="1" ref="F34" ca="1">INDIRECT("RawData!"&amp;ADDRESS($C$5+$A34,F$6))</f>
        <v>7.7179999999999999E-2</v>
      </c>
      <c r="G34" s="1" cm="1">
        <f t="array" aca="1" ref="G34" ca="1">INDIRECT("RawData!"&amp;ADDRESS($C$5+$A34,G$6))</f>
        <v>10.573</v>
      </c>
      <c r="H34" s="1" cm="1">
        <f t="array" aca="1" ref="H34" ca="1">INDIRECT("RawData!"&amp;ADDRESS($C$5+$A34,H$6))</f>
        <v>0.76504000000000005</v>
      </c>
      <c r="I34" s="1" cm="1">
        <f t="array" aca="1" ref="I34" ca="1">INDIRECT("RawData!"&amp;ADDRESS($C$5+$A34,I$6))</f>
        <v>0.12096</v>
      </c>
      <c r="J34" s="1" cm="1">
        <f t="array" aca="1" ref="J34" ca="1">INDIRECT("RawData!"&amp;ADDRESS($C$5+$A34,J$6))</f>
        <v>3.8029999999999999</v>
      </c>
      <c r="K34" s="1" cm="1">
        <f t="array" aca="1" ref="K34" ca="1">INDIRECT("RawData!"&amp;ADDRESS($C$5+$A34,K$6))</f>
        <v>0.20537</v>
      </c>
      <c r="L34" s="1" cm="1">
        <f t="array" aca="1" ref="L34" ca="1">INDIRECT("RawData!"&amp;ADDRESS($C$5+$A34,L$6))</f>
        <v>3.2469999999999999E-2</v>
      </c>
      <c r="M34" s="1" cm="1">
        <f t="array" aca="1" ref="M34" ca="1">INDIRECT("RawData!"&amp;ADDRESS($C$5+$A34,M$6))</f>
        <v>3.758</v>
      </c>
      <c r="N34" s="1" cm="1">
        <f t="array" aca="1" ref="N34" ca="1">INDIRECT("RawData!"&amp;ADDRESS($C$5+$A34,N$6))</f>
        <v>0.26263999999999998</v>
      </c>
      <c r="O34" s="1" cm="1">
        <f t="array" aca="1" ref="O34" ca="1">INDIRECT("RawData!"&amp;ADDRESS($C$5+$A34,O$6))</f>
        <v>4.1529999999999997E-2</v>
      </c>
      <c r="P34" s="1" cm="1">
        <f t="array" aca="1" ref="P34" ca="1">INDIRECT("RawData!"&amp;ADDRESS($C$5+$A34,P$6))</f>
        <v>0</v>
      </c>
      <c r="Q34" s="1" cm="1">
        <f t="array" aca="1" ref="Q34" ca="1">INDIRECT("RawData!"&amp;ADDRESS($C$5+$A34,Q$6))</f>
        <v>0</v>
      </c>
      <c r="R34" s="1" cm="1">
        <f t="array" aca="1" ref="R34" ca="1">INDIRECT("RawData!"&amp;ADDRESS($C$5+$A34,R$6))</f>
        <v>0</v>
      </c>
      <c r="S34" s="1" cm="1">
        <f t="array" aca="1" ref="S34" ca="1">INDIRECT("RawData!"&amp;ADDRESS($C$5+$A34,S$6))</f>
        <v>0</v>
      </c>
      <c r="T34" s="1" cm="1">
        <f t="array" aca="1" ref="T34" ca="1">INDIRECT("RawData!"&amp;ADDRESS($C$5+$A34,T$6))</f>
        <v>0</v>
      </c>
      <c r="U34" s="1" cm="1">
        <f t="array" aca="1" ref="U34" ca="1">INDIRECT("RawData!"&amp;ADDRESS($C$5+$A34,U$6))</f>
        <v>0</v>
      </c>
      <c r="V34" s="1" cm="1">
        <f t="array" aca="1" ref="V34" ca="1">INDIRECT("RawData!"&amp;ADDRESS($C$5+$A34,V$6))</f>
        <v>9.1</v>
      </c>
      <c r="W34" s="1" cm="1">
        <f t="array" aca="1" ref="W34" ca="1">INDIRECT("RawData!"&amp;ADDRESS($C$5+$A34,W$6))</f>
        <v>0.17011999999999999</v>
      </c>
      <c r="X34" s="1" cm="1">
        <f t="array" aca="1" ref="X34" ca="1">INDIRECT("RawData!"&amp;ADDRESS($C$5+$A34,X$6))</f>
        <v>2.69E-2</v>
      </c>
      <c r="Y34" s="1" cm="1">
        <f t="array" aca="1" ref="Y34" ca="1">INDIRECT("RawData!"&amp;ADDRESS($C$5+$A34,Y$6))</f>
        <v>9.1270000000000007</v>
      </c>
      <c r="Z34" s="1" cm="1">
        <f t="array" aca="1" ref="Z34" ca="1">INDIRECT("RawData!"&amp;ADDRESS($C$5+$A34,Z$6))</f>
        <v>0.14421999999999999</v>
      </c>
      <c r="AA34" s="1" cm="1">
        <f t="array" aca="1" ref="AA34" ca="1">INDIRECT("RawData!"&amp;ADDRESS($C$5+$A34,AA$6))</f>
        <v>2.2800000000000001E-2</v>
      </c>
    </row>
    <row r="35" spans="1:27" x14ac:dyDescent="0.3">
      <c r="A35" s="1">
        <v>24</v>
      </c>
    </row>
    <row r="36" spans="1:27" x14ac:dyDescent="0.3">
      <c r="A36" s="1">
        <v>1</v>
      </c>
      <c r="B36" s="1">
        <v>2</v>
      </c>
      <c r="C36" s="1">
        <v>3</v>
      </c>
      <c r="D36" s="1">
        <v>4</v>
      </c>
      <c r="E36" s="1">
        <v>5</v>
      </c>
      <c r="F36" s="1">
        <v>6</v>
      </c>
      <c r="G36" s="1">
        <v>7</v>
      </c>
      <c r="H36" s="1">
        <v>8</v>
      </c>
      <c r="I36" s="1">
        <v>9</v>
      </c>
      <c r="J36" s="1">
        <v>10</v>
      </c>
      <c r="K36" s="1">
        <v>11</v>
      </c>
      <c r="L36" s="1">
        <v>12</v>
      </c>
      <c r="M36" s="1">
        <v>13</v>
      </c>
      <c r="N36" s="1">
        <v>14</v>
      </c>
      <c r="O36" s="1">
        <v>15</v>
      </c>
      <c r="P36" s="1">
        <v>16</v>
      </c>
      <c r="Q36" s="1">
        <v>17</v>
      </c>
      <c r="R36" s="1">
        <v>18</v>
      </c>
      <c r="S36" s="1">
        <v>19</v>
      </c>
      <c r="T36" s="1">
        <v>20</v>
      </c>
      <c r="U36" s="1">
        <v>21</v>
      </c>
      <c r="V36" s="1">
        <v>22</v>
      </c>
      <c r="W36" s="1">
        <v>23</v>
      </c>
      <c r="X36" s="1">
        <v>24</v>
      </c>
      <c r="Y36" s="1">
        <v>25</v>
      </c>
      <c r="Z36" s="1">
        <v>26</v>
      </c>
      <c r="AA36" s="1">
        <v>27</v>
      </c>
    </row>
    <row r="37" spans="1:27" ht="100" x14ac:dyDescent="0.3">
      <c r="C37" s="4" t="s">
        <v>140</v>
      </c>
      <c r="D37" s="3" t="s">
        <v>137</v>
      </c>
      <c r="G37" s="3" t="s">
        <v>143</v>
      </c>
      <c r="J37" s="3" t="s">
        <v>138</v>
      </c>
      <c r="M37" s="3" t="s">
        <v>144</v>
      </c>
      <c r="P37" s="3" t="s">
        <v>139</v>
      </c>
      <c r="S37" s="3" t="s">
        <v>145</v>
      </c>
      <c r="V37" s="3" t="s">
        <v>147</v>
      </c>
      <c r="Y37" s="3" t="s">
        <v>146</v>
      </c>
    </row>
    <row r="38" spans="1:27" x14ac:dyDescent="0.3">
      <c r="A38" s="1">
        <v>0</v>
      </c>
      <c r="C38" s="1" t="str">
        <f ca="1">MID(C11,FIND("/",C11)+1,1000)</f>
        <v>gfortran.x</v>
      </c>
      <c r="D38" s="1">
        <f ca="1">D11</f>
        <v>10.481</v>
      </c>
      <c r="E38" s="1">
        <f ca="1">IF(D11=0,0,E11*100/D11)</f>
        <v>5.950100181280412</v>
      </c>
      <c r="F38" s="1">
        <f ca="1">IF(D11=0,0,F11*100/D11)</f>
        <v>0.94084533918519231</v>
      </c>
      <c r="G38" s="1">
        <f t="shared" ref="G38:AA45" ca="1" si="0">G11</f>
        <v>10.351000000000001</v>
      </c>
      <c r="H38" s="1">
        <f t="shared" ref="H38:AA45" ca="1" si="1">IF(G11=0,0,H11*100/G11)</f>
        <v>4.4099120857888119</v>
      </c>
      <c r="I38" s="1">
        <f t="shared" ref="I38:I45" ca="1" si="2">IF(G11=0,0,I11*100/G11)</f>
        <v>0.69722732103178431</v>
      </c>
      <c r="J38" s="1">
        <f t="shared" ref="J38:AA38" ca="1" si="3">J11</f>
        <v>4.1280000000000001</v>
      </c>
      <c r="K38" s="1">
        <f t="shared" ref="K38:AA38" ca="1" si="4">IF(J11=0,0,K11*100/J11)</f>
        <v>10.121124031007753</v>
      </c>
      <c r="L38" s="1">
        <f t="shared" ref="L38:L45" ca="1" si="5">IF(J11=0,0,L11*100/J11)</f>
        <v>1.6002906976744182</v>
      </c>
      <c r="M38" s="1">
        <f t="shared" ref="M38:AA38" ca="1" si="6">M11</f>
        <v>3.923</v>
      </c>
      <c r="N38" s="1">
        <f t="shared" ref="N38:AA38" ca="1" si="7">IF(M11=0,0,N11*100/M11)</f>
        <v>4.3979097629365285</v>
      </c>
      <c r="O38" s="1">
        <f t="shared" ref="O38:O45" ca="1" si="8">IF(M11=0,0,O11*100/M11)</f>
        <v>0.69538618404282426</v>
      </c>
      <c r="P38" s="1">
        <f t="shared" ref="P38:AA38" ca="1" si="9">P11</f>
        <v>7.9809999999999999</v>
      </c>
      <c r="Q38" s="1">
        <f t="shared" ref="Q38:AA38" ca="1" si="10">IF(P11=0,0,Q11*100/P11)</f>
        <v>7.2900639017666959</v>
      </c>
      <c r="R38" s="1">
        <f t="shared" ref="R38:R45" ca="1" si="11">IF(P11=0,0,R11*100/P11)</f>
        <v>1.1526124545796266</v>
      </c>
      <c r="S38" s="1">
        <f t="shared" ref="S38:AA38" ca="1" si="12">S11</f>
        <v>8.2669999999999995</v>
      </c>
      <c r="T38" s="1">
        <f t="shared" ref="T38:AA38" ca="1" si="13">IF(S11=0,0,T11*100/S11)</f>
        <v>9.7954517962985364</v>
      </c>
      <c r="U38" s="1">
        <f t="shared" ref="U38:U45" ca="1" si="14">IF(S11=0,0,U11*100/S11)</f>
        <v>1.5488085157856537</v>
      </c>
      <c r="V38" s="1">
        <f t="shared" ref="V38:AA38" ca="1" si="15">V11</f>
        <v>9.6999999999999993</v>
      </c>
      <c r="W38" s="1">
        <f t="shared" ref="W38:AA38" ca="1" si="16">IF(V11=0,0,W11*100/V11)</f>
        <v>1.4726804123711341</v>
      </c>
      <c r="X38" s="1">
        <f t="shared" ref="X38:X45" ca="1" si="17">IF(V11=0,0,X11*100/V11)</f>
        <v>0.23288659793814434</v>
      </c>
      <c r="Y38" s="1">
        <f t="shared" ref="Y38:AA38" ca="1" si="18">Y11</f>
        <v>9.8239999999999998</v>
      </c>
      <c r="Z38" s="1">
        <f t="shared" ref="Z38:AA38" ca="1" si="19">IF(Y11=0,0,Z11*100/Y11)</f>
        <v>0.91317182410423459</v>
      </c>
      <c r="AA38" s="1">
        <f t="shared" ref="AA38:AA45" ca="1" si="20">IF(Y11=0,0,AA11*100/Y11)</f>
        <v>0.14434039087947884</v>
      </c>
    </row>
    <row r="39" spans="1:27" x14ac:dyDescent="0.3">
      <c r="A39" s="1">
        <v>1</v>
      </c>
      <c r="C39" s="1" t="str">
        <f t="shared" ref="C39:C61" ca="1" si="21">MID(C12,FIND("/",C12)+1,1000)</f>
        <v>gfortran_o3.x</v>
      </c>
      <c r="D39" s="1">
        <f t="shared" ref="D39:D61" ca="1" si="22">D12</f>
        <v>10.375</v>
      </c>
      <c r="E39" s="1">
        <f t="shared" ref="E39:E61" ca="1" si="23">IF(D12=0,0,E12*100/D12)</f>
        <v>7.1031325301204813</v>
      </c>
      <c r="F39" s="1">
        <f t="shared" ref="F39:F45" ca="1" si="24">IF(D12=0,0,F12*100/D12)</f>
        <v>1.1230843373493975</v>
      </c>
      <c r="G39" s="1">
        <f t="shared" ca="1" si="0"/>
        <v>9.9039999999999999</v>
      </c>
      <c r="H39" s="1">
        <f t="shared" ca="1" si="1"/>
        <v>6.0240306946688209</v>
      </c>
      <c r="I39" s="1">
        <f t="shared" ca="1" si="2"/>
        <v>0.95244345718901458</v>
      </c>
      <c r="J39" s="1">
        <f t="shared" ca="1" si="0"/>
        <v>3.7549999999999999</v>
      </c>
      <c r="K39" s="1">
        <f t="shared" ca="1" si="1"/>
        <v>4.9142476697736353</v>
      </c>
      <c r="L39" s="1">
        <f t="shared" ca="1" si="5"/>
        <v>0.77709720372836222</v>
      </c>
      <c r="M39" s="1">
        <f t="shared" ca="1" si="0"/>
        <v>3.6960000000000002</v>
      </c>
      <c r="N39" s="1">
        <f t="shared" ca="1" si="1"/>
        <v>6.5305735930735933</v>
      </c>
      <c r="O39" s="1">
        <f t="shared" ca="1" si="8"/>
        <v>1.0324675324675323</v>
      </c>
      <c r="P39" s="1">
        <f t="shared" ca="1" si="0"/>
        <v>5.6849999999999996</v>
      </c>
      <c r="Q39" s="1">
        <f t="shared" ca="1" si="1"/>
        <v>23.353210202286721</v>
      </c>
      <c r="R39" s="1">
        <f t="shared" ca="1" si="11"/>
        <v>3.6925241864555853</v>
      </c>
      <c r="S39" s="1">
        <f t="shared" ca="1" si="0"/>
        <v>6.7009999999999996</v>
      </c>
      <c r="T39" s="1">
        <f t="shared" ca="1" si="1"/>
        <v>17.711386360244738</v>
      </c>
      <c r="U39" s="1">
        <f t="shared" ca="1" si="14"/>
        <v>2.8004775406655722</v>
      </c>
      <c r="V39" s="1">
        <f t="shared" ca="1" si="0"/>
        <v>8.7129999999999992</v>
      </c>
      <c r="W39" s="1">
        <f t="shared" ca="1" si="1"/>
        <v>1.0188224492138187</v>
      </c>
      <c r="X39" s="1">
        <f t="shared" ca="1" si="17"/>
        <v>0.16113852863537245</v>
      </c>
      <c r="Y39" s="1">
        <f t="shared" ca="1" si="0"/>
        <v>8.0730000000000004</v>
      </c>
      <c r="Z39" s="1">
        <f t="shared" ca="1" si="1"/>
        <v>1.5368512325034063</v>
      </c>
      <c r="AA39" s="1">
        <f t="shared" ca="1" si="20"/>
        <v>0.24303232998885169</v>
      </c>
    </row>
    <row r="40" spans="1:27" x14ac:dyDescent="0.3">
      <c r="A40" s="1">
        <v>2</v>
      </c>
      <c r="C40" s="1" t="str">
        <f t="shared" ca="1" si="21"/>
        <v>gfortran_w_lu2.x</v>
      </c>
      <c r="D40" s="1">
        <f t="shared" ca="1" si="22"/>
        <v>10.412000000000001</v>
      </c>
      <c r="E40" s="1">
        <f t="shared" ca="1" si="23"/>
        <v>7.3159815597387619</v>
      </c>
      <c r="F40" s="1">
        <f t="shared" ca="1" si="24"/>
        <v>1.1567422205147906</v>
      </c>
      <c r="G40" s="1">
        <f t="shared" ca="1" si="0"/>
        <v>10.52</v>
      </c>
      <c r="H40" s="1">
        <f t="shared" ca="1" si="1"/>
        <v>6.5891634980988592</v>
      </c>
      <c r="I40" s="1">
        <f t="shared" ca="1" si="2"/>
        <v>1.0418250950570342</v>
      </c>
      <c r="J40" s="1">
        <f t="shared" ca="1" si="0"/>
        <v>3.722</v>
      </c>
      <c r="K40" s="1">
        <f t="shared" ca="1" si="1"/>
        <v>5.9873723804406236</v>
      </c>
      <c r="L40" s="1">
        <f t="shared" ca="1" si="5"/>
        <v>0.94680279419666846</v>
      </c>
      <c r="M40" s="1">
        <f t="shared" ca="1" si="0"/>
        <v>3.6659999999999999</v>
      </c>
      <c r="N40" s="1">
        <f t="shared" ca="1" si="1"/>
        <v>5.2703218767048554</v>
      </c>
      <c r="O40" s="1">
        <f t="shared" ca="1" si="8"/>
        <v>0.83333333333333337</v>
      </c>
      <c r="P40" s="1">
        <f t="shared" ca="1" si="0"/>
        <v>6.2569999999999997</v>
      </c>
      <c r="Q40" s="1">
        <f t="shared" ca="1" si="1"/>
        <v>11.659900910979704</v>
      </c>
      <c r="R40" s="1">
        <f t="shared" ca="1" si="11"/>
        <v>1.8435352405306058</v>
      </c>
      <c r="S40" s="1">
        <f t="shared" ca="1" si="0"/>
        <v>6.4560000000000004</v>
      </c>
      <c r="T40" s="1">
        <f t="shared" ca="1" si="1"/>
        <v>13.126239157372984</v>
      </c>
      <c r="U40" s="1">
        <f t="shared" ca="1" si="14"/>
        <v>2.0754337050805449</v>
      </c>
      <c r="V40" s="1">
        <f t="shared" ca="1" si="0"/>
        <v>8.6809999999999992</v>
      </c>
      <c r="W40" s="1">
        <f t="shared" ca="1" si="1"/>
        <v>1.180163575624928</v>
      </c>
      <c r="X40" s="1">
        <f t="shared" ca="1" si="17"/>
        <v>0.18661444534039859</v>
      </c>
      <c r="Y40" s="1">
        <f t="shared" ca="1" si="0"/>
        <v>8.5589999999999993</v>
      </c>
      <c r="Z40" s="1">
        <f t="shared" ca="1" si="1"/>
        <v>1.2887019511625191</v>
      </c>
      <c r="AA40" s="1">
        <f t="shared" ca="1" si="20"/>
        <v>0.2037621217431943</v>
      </c>
    </row>
    <row r="41" spans="1:27" x14ac:dyDescent="0.3">
      <c r="A41" s="1">
        <v>3</v>
      </c>
      <c r="C41" s="1" t="str">
        <f t="shared" ca="1" si="21"/>
        <v>gfortran_w_lu2_o3.x</v>
      </c>
      <c r="D41" s="1">
        <f t="shared" ca="1" si="22"/>
        <v>10.654</v>
      </c>
      <c r="E41" s="1">
        <f t="shared" ca="1" si="23"/>
        <v>14.835742444152432</v>
      </c>
      <c r="F41" s="1">
        <f t="shared" ca="1" si="24"/>
        <v>2.3456917589637696</v>
      </c>
      <c r="G41" s="1">
        <f t="shared" ca="1" si="0"/>
        <v>9.9380000000000006</v>
      </c>
      <c r="H41" s="1">
        <f t="shared" ca="1" si="1"/>
        <v>7.1662306299054137</v>
      </c>
      <c r="I41" s="1">
        <f t="shared" ca="1" si="2"/>
        <v>1.1331253773395049</v>
      </c>
      <c r="J41" s="1">
        <f t="shared" ca="1" si="0"/>
        <v>3.72</v>
      </c>
      <c r="K41" s="1">
        <f t="shared" ca="1" si="1"/>
        <v>3.3389784946236554</v>
      </c>
      <c r="L41" s="1">
        <f t="shared" ca="1" si="5"/>
        <v>0.52795698924731183</v>
      </c>
      <c r="M41" s="1">
        <f t="shared" ca="1" si="0"/>
        <v>3.6349999999999998</v>
      </c>
      <c r="N41" s="1">
        <f t="shared" ca="1" si="1"/>
        <v>5.8016506189821184</v>
      </c>
      <c r="O41" s="1">
        <f t="shared" ca="1" si="8"/>
        <v>0.91746905089408537</v>
      </c>
      <c r="P41" s="1">
        <f t="shared" ca="1" si="0"/>
        <v>5.5380000000000003</v>
      </c>
      <c r="Q41" s="1">
        <f t="shared" ca="1" si="1"/>
        <v>22.04405922715782</v>
      </c>
      <c r="R41" s="1">
        <f t="shared" ca="1" si="11"/>
        <v>3.4855543517515351</v>
      </c>
      <c r="S41" s="1">
        <f t="shared" ca="1" si="0"/>
        <v>6.2210000000000001</v>
      </c>
      <c r="T41" s="1">
        <f t="shared" ca="1" si="1"/>
        <v>9.8397363767882968</v>
      </c>
      <c r="U41" s="1">
        <f t="shared" ca="1" si="14"/>
        <v>1.5558591866259444</v>
      </c>
      <c r="V41" s="1">
        <f t="shared" ca="1" si="0"/>
        <v>8.7029999999999994</v>
      </c>
      <c r="W41" s="1">
        <f t="shared" ca="1" si="1"/>
        <v>0.85993335631391477</v>
      </c>
      <c r="X41" s="1">
        <f t="shared" ca="1" si="17"/>
        <v>0.13593013903251755</v>
      </c>
      <c r="Y41" s="1">
        <f t="shared" ca="1" si="0"/>
        <v>8.06</v>
      </c>
      <c r="Z41" s="1">
        <f t="shared" ca="1" si="1"/>
        <v>1.6834987593052109</v>
      </c>
      <c r="AA41" s="1">
        <f t="shared" ca="1" si="20"/>
        <v>0.2661290322580645</v>
      </c>
    </row>
    <row r="42" spans="1:27" x14ac:dyDescent="0.3">
      <c r="A42" s="1">
        <v>4</v>
      </c>
      <c r="C42" s="1" t="str">
        <f t="shared" ca="1" si="21"/>
        <v>gfortran_w_lu4.x</v>
      </c>
      <c r="D42" s="1">
        <f t="shared" ca="1" si="22"/>
        <v>10.273</v>
      </c>
      <c r="E42" s="1">
        <f t="shared" ca="1" si="23"/>
        <v>6.9734254842791792</v>
      </c>
      <c r="F42" s="1">
        <f t="shared" ca="1" si="24"/>
        <v>1.1025990460430255</v>
      </c>
      <c r="G42" s="1">
        <f t="shared" ca="1" si="0"/>
        <v>10.316000000000001</v>
      </c>
      <c r="H42" s="1">
        <f t="shared" ca="1" si="1"/>
        <v>6.8849360217138429</v>
      </c>
      <c r="I42" s="1">
        <f t="shared" ca="1" si="2"/>
        <v>1.0886002326483133</v>
      </c>
      <c r="J42" s="1">
        <f t="shared" ca="1" si="0"/>
        <v>3.6779999999999999</v>
      </c>
      <c r="K42" s="1">
        <f t="shared" ca="1" si="1"/>
        <v>3.9469820554649266</v>
      </c>
      <c r="L42" s="1">
        <f t="shared" ca="1" si="5"/>
        <v>0.62398042414355637</v>
      </c>
      <c r="M42" s="1">
        <f t="shared" ca="1" si="0"/>
        <v>3.6779999999999999</v>
      </c>
      <c r="N42" s="1">
        <f t="shared" ca="1" si="1"/>
        <v>5.5630777596519847</v>
      </c>
      <c r="O42" s="1">
        <f t="shared" ca="1" si="8"/>
        <v>0.87955410549211521</v>
      </c>
      <c r="P42" s="1">
        <f t="shared" ca="1" si="0"/>
        <v>6.1920000000000002</v>
      </c>
      <c r="Q42" s="1">
        <f t="shared" ca="1" si="1"/>
        <v>14.565083979328165</v>
      </c>
      <c r="R42" s="1">
        <f t="shared" ca="1" si="11"/>
        <v>2.3029715762273901</v>
      </c>
      <c r="S42" s="1">
        <f t="shared" ca="1" si="0"/>
        <v>5.2679999999999998</v>
      </c>
      <c r="T42" s="1">
        <f t="shared" ca="1" si="1"/>
        <v>17.392938496583142</v>
      </c>
      <c r="U42" s="1">
        <f t="shared" ca="1" si="14"/>
        <v>2.75</v>
      </c>
      <c r="V42" s="1">
        <f t="shared" ca="1" si="0"/>
        <v>8.6329999999999991</v>
      </c>
      <c r="W42" s="1">
        <f t="shared" ca="1" si="1"/>
        <v>0.76473995134947292</v>
      </c>
      <c r="X42" s="1">
        <f t="shared" ca="1" si="17"/>
        <v>0.12093131008919265</v>
      </c>
      <c r="Y42" s="1">
        <f t="shared" ca="1" si="0"/>
        <v>8.0760000000000005</v>
      </c>
      <c r="Z42" s="1">
        <f t="shared" ca="1" si="1"/>
        <v>0.7348935116394254</v>
      </c>
      <c r="AA42" s="1">
        <f t="shared" ca="1" si="20"/>
        <v>0.11614660723130261</v>
      </c>
    </row>
    <row r="43" spans="1:27" x14ac:dyDescent="0.3">
      <c r="A43" s="1">
        <v>5</v>
      </c>
      <c r="C43" s="1" t="str">
        <f t="shared" ca="1" si="21"/>
        <v>gfortran_w_lu8.x</v>
      </c>
      <c r="D43" s="1">
        <f t="shared" ca="1" si="22"/>
        <v>10.395</v>
      </c>
      <c r="E43" s="1">
        <f t="shared" ca="1" si="23"/>
        <v>6.2988936988936981</v>
      </c>
      <c r="F43" s="1">
        <f t="shared" ca="1" si="24"/>
        <v>0.99595959595959593</v>
      </c>
      <c r="G43" s="1">
        <f t="shared" ca="1" si="0"/>
        <v>10.108000000000001</v>
      </c>
      <c r="H43" s="1">
        <f t="shared" ca="1" si="1"/>
        <v>5.7012267510882468</v>
      </c>
      <c r="I43" s="1">
        <f t="shared" ca="1" si="2"/>
        <v>0.90146418678274631</v>
      </c>
      <c r="J43" s="1">
        <f t="shared" ca="1" si="0"/>
        <v>3.6960000000000002</v>
      </c>
      <c r="K43" s="1">
        <f t="shared" ca="1" si="1"/>
        <v>7.2288961038961022</v>
      </c>
      <c r="L43" s="1">
        <f t="shared" ca="1" si="5"/>
        <v>1.1431277056277058</v>
      </c>
      <c r="M43" s="1">
        <f t="shared" ca="1" si="0"/>
        <v>3.669</v>
      </c>
      <c r="N43" s="1">
        <f t="shared" ca="1" si="1"/>
        <v>4.4859634777868624</v>
      </c>
      <c r="O43" s="1">
        <f t="shared" ca="1" si="8"/>
        <v>0.70918506405015003</v>
      </c>
      <c r="P43" s="1">
        <f t="shared" ca="1" si="0"/>
        <v>3.548</v>
      </c>
      <c r="Q43" s="1">
        <f t="shared" ca="1" si="1"/>
        <v>29.979143179255917</v>
      </c>
      <c r="R43" s="1">
        <f t="shared" ca="1" si="11"/>
        <v>4.7401352874859066</v>
      </c>
      <c r="S43" s="1">
        <f t="shared" ca="1" si="0"/>
        <v>5.3730000000000002</v>
      </c>
      <c r="T43" s="1">
        <f t="shared" ca="1" si="1"/>
        <v>11.730132142192444</v>
      </c>
      <c r="U43" s="1">
        <f t="shared" ca="1" si="14"/>
        <v>1.8546435883119299</v>
      </c>
      <c r="V43" s="1">
        <f t="shared" ca="1" si="0"/>
        <v>8.8190000000000008</v>
      </c>
      <c r="W43" s="1">
        <f t="shared" ca="1" si="1"/>
        <v>1.7889783422156704</v>
      </c>
      <c r="X43" s="1">
        <f t="shared" ca="1" si="17"/>
        <v>0.28291189477264994</v>
      </c>
      <c r="Y43" s="1">
        <f t="shared" ca="1" si="0"/>
        <v>8.4640000000000004</v>
      </c>
      <c r="Z43" s="1">
        <f t="shared" ca="1" si="1"/>
        <v>1.4735349716446124</v>
      </c>
      <c r="AA43" s="1">
        <f t="shared" ca="1" si="20"/>
        <v>0.23298676748582231</v>
      </c>
    </row>
    <row r="44" spans="1:27" x14ac:dyDescent="0.3">
      <c r="A44" s="1">
        <v>6</v>
      </c>
      <c r="C44" s="1" t="str">
        <f t="shared" ca="1" si="21"/>
        <v>ifx.x</v>
      </c>
      <c r="D44" s="1">
        <f t="shared" ca="1" si="22"/>
        <v>10.15</v>
      </c>
      <c r="E44" s="1">
        <f t="shared" ca="1" si="23"/>
        <v>12.728965517241377</v>
      </c>
      <c r="F44" s="1">
        <f t="shared" ca="1" si="24"/>
        <v>2.0126108374384235</v>
      </c>
      <c r="G44" s="1">
        <f t="shared" ca="1" si="0"/>
        <v>9.4250000000000007</v>
      </c>
      <c r="H44" s="1">
        <f t="shared" ca="1" si="1"/>
        <v>17.307480106100794</v>
      </c>
      <c r="I44" s="1">
        <f t="shared" ca="1" si="2"/>
        <v>2.7365517241379305</v>
      </c>
      <c r="J44" s="1">
        <f t="shared" ca="1" si="0"/>
        <v>3.7450000000000001</v>
      </c>
      <c r="K44" s="1">
        <f t="shared" ca="1" si="1"/>
        <v>4.3967957276368494</v>
      </c>
      <c r="L44" s="1">
        <f t="shared" ca="1" si="5"/>
        <v>0.69506008010680909</v>
      </c>
      <c r="M44" s="1">
        <f t="shared" ca="1" si="0"/>
        <v>3.661</v>
      </c>
      <c r="N44" s="1">
        <f t="shared" ca="1" si="1"/>
        <v>4.0751160885004092</v>
      </c>
      <c r="O44" s="1">
        <f t="shared" ca="1" si="8"/>
        <v>0.64435946462715099</v>
      </c>
      <c r="P44" s="1">
        <f t="shared" ca="1" si="0"/>
        <v>0</v>
      </c>
      <c r="Q44" s="1">
        <f t="shared" ca="1" si="1"/>
        <v>0</v>
      </c>
      <c r="R44" s="1">
        <f t="shared" ca="1" si="11"/>
        <v>0</v>
      </c>
      <c r="S44" s="1">
        <f t="shared" ca="1" si="0"/>
        <v>0</v>
      </c>
      <c r="T44" s="1">
        <f t="shared" ca="1" si="1"/>
        <v>0</v>
      </c>
      <c r="U44" s="1">
        <f t="shared" ca="1" si="14"/>
        <v>0</v>
      </c>
      <c r="V44" s="1">
        <f t="shared" ca="1" si="0"/>
        <v>9.1920000000000002</v>
      </c>
      <c r="W44" s="1">
        <f t="shared" ca="1" si="1"/>
        <v>1.0534160139251523</v>
      </c>
      <c r="X44" s="1">
        <f t="shared" ca="1" si="17"/>
        <v>0.1665578764142733</v>
      </c>
      <c r="Y44" s="1">
        <f t="shared" ca="1" si="0"/>
        <v>8.0449999999999999</v>
      </c>
      <c r="Z44" s="1">
        <f t="shared" ca="1" si="1"/>
        <v>0.86935985083903045</v>
      </c>
      <c r="AA44" s="1">
        <f t="shared" ca="1" si="20"/>
        <v>0.13747669359850839</v>
      </c>
    </row>
    <row r="45" spans="1:27" x14ac:dyDescent="0.3">
      <c r="A45" s="1">
        <v>7</v>
      </c>
      <c r="C45" s="1" t="str">
        <f t="shared" ca="1" si="21"/>
        <v>ifx_o3.x</v>
      </c>
      <c r="D45" s="1">
        <f t="shared" ca="1" si="22"/>
        <v>10.625</v>
      </c>
      <c r="E45" s="1">
        <f t="shared" ca="1" si="23"/>
        <v>10.802258823529412</v>
      </c>
      <c r="F45" s="1">
        <f t="shared" ca="1" si="24"/>
        <v>1.7079529411764705</v>
      </c>
      <c r="G45" s="1">
        <f t="shared" ca="1" si="0"/>
        <v>9.25</v>
      </c>
      <c r="H45" s="1">
        <f t="shared" ca="1" si="1"/>
        <v>13.126810810810809</v>
      </c>
      <c r="I45" s="1">
        <f t="shared" ca="1" si="2"/>
        <v>2.0755675675675676</v>
      </c>
      <c r="J45" s="1">
        <f t="shared" ca="1" si="0"/>
        <v>3.8679999999999999</v>
      </c>
      <c r="K45" s="1">
        <f t="shared" ca="1" si="1"/>
        <v>3.1197001034126166</v>
      </c>
      <c r="L45" s="1">
        <f t="shared" ca="1" si="5"/>
        <v>0.49327817993795242</v>
      </c>
      <c r="M45" s="1">
        <f t="shared" ca="1" si="0"/>
        <v>3.7410000000000001</v>
      </c>
      <c r="N45" s="1">
        <f t="shared" ca="1" si="1"/>
        <v>5.3894680566693394</v>
      </c>
      <c r="O45" s="1">
        <f t="shared" ca="1" si="8"/>
        <v>0.85217856188184971</v>
      </c>
      <c r="P45" s="1">
        <f t="shared" ca="1" si="0"/>
        <v>0</v>
      </c>
      <c r="Q45" s="1">
        <f t="shared" ca="1" si="1"/>
        <v>0</v>
      </c>
      <c r="R45" s="1">
        <f t="shared" ca="1" si="11"/>
        <v>0</v>
      </c>
      <c r="S45" s="1">
        <f t="shared" ca="1" si="0"/>
        <v>0</v>
      </c>
      <c r="T45" s="1">
        <f t="shared" ca="1" si="1"/>
        <v>0</v>
      </c>
      <c r="U45" s="1">
        <f t="shared" ca="1" si="14"/>
        <v>0</v>
      </c>
      <c r="V45" s="1">
        <f t="shared" ca="1" si="0"/>
        <v>9.6440000000000001</v>
      </c>
      <c r="W45" s="1">
        <f t="shared" ca="1" si="1"/>
        <v>1.2236623807548734</v>
      </c>
      <c r="X45" s="1">
        <f t="shared" ca="1" si="17"/>
        <v>0.19348817917876399</v>
      </c>
      <c r="Y45" s="1">
        <f t="shared" ca="1" si="0"/>
        <v>8.0269999999999992</v>
      </c>
      <c r="Z45" s="1">
        <f t="shared" ca="1" si="1"/>
        <v>1.595739379593871</v>
      </c>
      <c r="AA45" s="1">
        <f t="shared" ca="1" si="20"/>
        <v>0.25227357667870937</v>
      </c>
    </row>
    <row r="46" spans="1:27" x14ac:dyDescent="0.3">
      <c r="A46" s="1">
        <v>8</v>
      </c>
      <c r="C46" s="1" t="str">
        <f t="shared" ca="1" si="21"/>
        <v>ifx_w_lu2.x</v>
      </c>
      <c r="D46" s="1">
        <f t="shared" ca="1" si="22"/>
        <v>10.15</v>
      </c>
      <c r="E46" s="1">
        <f t="shared" ca="1" si="23"/>
        <v>7.9038423645320188</v>
      </c>
      <c r="F46" s="1">
        <f t="shared" ref="F46:F61" ca="1" si="25">IF(D19=0,0,F19*100/D19)</f>
        <v>1.2497536945812806</v>
      </c>
      <c r="G46" s="1">
        <f t="shared" ref="G46:AA46" ca="1" si="26">G19</f>
        <v>9.6</v>
      </c>
      <c r="H46" s="1">
        <f t="shared" ref="H46:AA46" ca="1" si="27">IF(G19=0,0,H19*100/G19)</f>
        <v>13.509791666666667</v>
      </c>
      <c r="I46" s="1">
        <f t="shared" ref="I46:I61" ca="1" si="28">IF(G19=0,0,I19*100/G19)</f>
        <v>2.1360416666666668</v>
      </c>
      <c r="J46" s="1">
        <f t="shared" ref="J46:AA46" ca="1" si="29">J19</f>
        <v>3.7730000000000001</v>
      </c>
      <c r="K46" s="1">
        <f t="shared" ref="K46:AA46" ca="1" si="30">IF(J19=0,0,K19*100/J19)</f>
        <v>5.8356745295520795</v>
      </c>
      <c r="L46" s="1">
        <f t="shared" ref="L46:L61" ca="1" si="31">IF(J19=0,0,L19*100/J19)</f>
        <v>0.92260800424065725</v>
      </c>
      <c r="M46" s="1">
        <f t="shared" ref="M46:AA46" ca="1" si="32">M19</f>
        <v>3.653</v>
      </c>
      <c r="N46" s="1">
        <f t="shared" ref="N46:AA46" ca="1" si="33">IF(M19=0,0,N19*100/M19)</f>
        <v>3.9236244182863405</v>
      </c>
      <c r="O46" s="1">
        <f t="shared" ref="O46:O61" ca="1" si="34">IF(M19=0,0,O19*100/M19)</f>
        <v>0.62031207226936769</v>
      </c>
      <c r="P46" s="1">
        <f t="shared" ref="P46:AA46" ca="1" si="35">P19</f>
        <v>0</v>
      </c>
      <c r="Q46" s="1">
        <f t="shared" ref="Q46:AA46" ca="1" si="36">IF(P19=0,0,Q19*100/P19)</f>
        <v>0</v>
      </c>
      <c r="R46" s="1">
        <f t="shared" ref="R46:R61" ca="1" si="37">IF(P19=0,0,R19*100/P19)</f>
        <v>0</v>
      </c>
      <c r="S46" s="1">
        <f t="shared" ref="S46:AA46" ca="1" si="38">S19</f>
        <v>0</v>
      </c>
      <c r="T46" s="1">
        <f t="shared" ref="T46:AA46" ca="1" si="39">IF(S19=0,0,T19*100/S19)</f>
        <v>0</v>
      </c>
      <c r="U46" s="1">
        <f t="shared" ref="U46:U61" ca="1" si="40">IF(S19=0,0,U19*100/S19)</f>
        <v>0</v>
      </c>
      <c r="V46" s="1">
        <f t="shared" ref="V46:AA46" ca="1" si="41">V19</f>
        <v>9.1690000000000005</v>
      </c>
      <c r="W46" s="1">
        <f t="shared" ref="W46:AA46" ca="1" si="42">IF(V19=0,0,W19*100/V19)</f>
        <v>1.3977532991602135</v>
      </c>
      <c r="X46" s="1">
        <f t="shared" ref="X46:X61" ca="1" si="43">IF(V19=0,0,X19*100/V19)</f>
        <v>0.22096193696150068</v>
      </c>
      <c r="Y46" s="1">
        <f t="shared" ref="Y46:AA46" ca="1" si="44">Y19</f>
        <v>8.0609999999999999</v>
      </c>
      <c r="Z46" s="1">
        <f t="shared" ref="Z46:AA46" ca="1" si="45">IF(Y19=0,0,Z19*100/Y19)</f>
        <v>1.1239300334946036</v>
      </c>
      <c r="AA46" s="1">
        <f t="shared" ref="AA46:AA61" ca="1" si="46">IF(Y19=0,0,AA19*100/Y19)</f>
        <v>0.17764545341769011</v>
      </c>
    </row>
    <row r="47" spans="1:27" x14ac:dyDescent="0.3">
      <c r="A47" s="1">
        <v>9</v>
      </c>
      <c r="C47" s="1" t="str">
        <f t="shared" ca="1" si="21"/>
        <v>ifx_w_lu2_o3.x</v>
      </c>
      <c r="D47" s="1">
        <f t="shared" ca="1" si="22"/>
        <v>10.074999999999999</v>
      </c>
      <c r="E47" s="1">
        <f t="shared" ca="1" si="23"/>
        <v>8.5256575682382145</v>
      </c>
      <c r="F47" s="1">
        <f t="shared" ca="1" si="25"/>
        <v>1.3479900744416875</v>
      </c>
      <c r="G47" s="1">
        <f t="shared" ref="G47:AA47" ca="1" si="47">G20</f>
        <v>9.5749999999999993</v>
      </c>
      <c r="H47" s="1">
        <f t="shared" ref="H47:AA47" ca="1" si="48">IF(G20=0,0,H20*100/G20)</f>
        <v>9.4269451697127948</v>
      </c>
      <c r="I47" s="1">
        <f t="shared" ca="1" si="28"/>
        <v>1.490548302872063</v>
      </c>
      <c r="J47" s="1">
        <f t="shared" ref="J47:AA47" ca="1" si="49">J20</f>
        <v>3.694</v>
      </c>
      <c r="K47" s="1">
        <f t="shared" ref="K47:AA47" ca="1" si="50">IF(J20=0,0,K20*100/J20)</f>
        <v>3.0498105035192205</v>
      </c>
      <c r="L47" s="1">
        <f t="shared" ca="1" si="31"/>
        <v>0.48213318895506224</v>
      </c>
      <c r="M47" s="1">
        <f t="shared" ref="M47:AA47" ca="1" si="51">M20</f>
        <v>3.6259999999999999</v>
      </c>
      <c r="N47" s="1">
        <f t="shared" ref="N47:AA47" ca="1" si="52">IF(M20=0,0,N20*100/M20)</f>
        <v>5.1367898510755658</v>
      </c>
      <c r="O47" s="1">
        <f t="shared" ca="1" si="34"/>
        <v>0.81218974076116934</v>
      </c>
      <c r="P47" s="1">
        <f t="shared" ref="P47:AA47" ca="1" si="53">P20</f>
        <v>0</v>
      </c>
      <c r="Q47" s="1">
        <f t="shared" ref="Q47:AA47" ca="1" si="54">IF(P20=0,0,Q20*100/P20)</f>
        <v>0</v>
      </c>
      <c r="R47" s="1">
        <f t="shared" ca="1" si="37"/>
        <v>0</v>
      </c>
      <c r="S47" s="1">
        <f t="shared" ref="S47:AA47" ca="1" si="55">S20</f>
        <v>0</v>
      </c>
      <c r="T47" s="1">
        <f t="shared" ref="T47:AA47" ca="1" si="56">IF(S20=0,0,T20*100/S20)</f>
        <v>0</v>
      </c>
      <c r="U47" s="1">
        <f t="shared" ca="1" si="40"/>
        <v>0</v>
      </c>
      <c r="V47" s="1">
        <f t="shared" ref="V47:AA47" ca="1" si="57">V20</f>
        <v>9.4920000000000009</v>
      </c>
      <c r="W47" s="1">
        <f t="shared" ref="W47:AA47" ca="1" si="58">IF(V20=0,0,W20*100/V20)</f>
        <v>1.7671723556679308</v>
      </c>
      <c r="X47" s="1">
        <f t="shared" ca="1" si="43"/>
        <v>0.27939317319848289</v>
      </c>
      <c r="Y47" s="1">
        <f t="shared" ref="Y47:AA47" ca="1" si="59">Y20</f>
        <v>8.0410000000000004</v>
      </c>
      <c r="Z47" s="1">
        <f t="shared" ref="Z47:AA47" ca="1" si="60">IF(Y20=0,0,Z20*100/Y20)</f>
        <v>1.0932719810968785</v>
      </c>
      <c r="AA47" s="1">
        <f t="shared" ca="1" si="46"/>
        <v>0.17286407163288145</v>
      </c>
    </row>
    <row r="48" spans="1:27" x14ac:dyDescent="0.3">
      <c r="A48" s="1">
        <v>10</v>
      </c>
      <c r="C48" s="1" t="str">
        <f t="shared" ca="1" si="21"/>
        <v>ifx_w_lu4.x</v>
      </c>
      <c r="D48" s="1">
        <f t="shared" ca="1" si="22"/>
        <v>10.050000000000001</v>
      </c>
      <c r="E48" s="1">
        <f t="shared" ca="1" si="23"/>
        <v>10.79462686567164</v>
      </c>
      <c r="F48" s="1">
        <f t="shared" ca="1" si="25"/>
        <v>1.7067661691542286</v>
      </c>
      <c r="G48" s="1">
        <f t="shared" ref="G48:AA48" ca="1" si="61">G21</f>
        <v>9.5500000000000007</v>
      </c>
      <c r="H48" s="1">
        <f t="shared" ref="H48:AA48" ca="1" si="62">IF(G21=0,0,H21*100/G21)</f>
        <v>15.358429319371727</v>
      </c>
      <c r="I48" s="1">
        <f t="shared" ca="1" si="28"/>
        <v>2.428376963350785</v>
      </c>
      <c r="J48" s="1">
        <f t="shared" ref="J48:AA48" ca="1" si="63">J21</f>
        <v>3.6920000000000002</v>
      </c>
      <c r="K48" s="1">
        <f t="shared" ref="K48:AA48" ca="1" si="64">IF(J21=0,0,K21*100/J21)</f>
        <v>5.0165222101841822</v>
      </c>
      <c r="L48" s="1">
        <f t="shared" ca="1" si="31"/>
        <v>0.7930660888407367</v>
      </c>
      <c r="M48" s="1">
        <f t="shared" ref="M48:AA48" ca="1" si="65">M21</f>
        <v>3.734</v>
      </c>
      <c r="N48" s="1">
        <f t="shared" ref="N48:AA48" ca="1" si="66">IF(M21=0,0,N21*100/M21)</f>
        <v>5.0741831815747185</v>
      </c>
      <c r="O48" s="1">
        <f t="shared" ca="1" si="34"/>
        <v>0.80235672201392605</v>
      </c>
      <c r="P48" s="1">
        <f t="shared" ref="P48:AA48" ca="1" si="67">P21</f>
        <v>0</v>
      </c>
      <c r="Q48" s="1">
        <f t="shared" ref="Q48:AA48" ca="1" si="68">IF(P21=0,0,Q21*100/P21)</f>
        <v>0</v>
      </c>
      <c r="R48" s="1">
        <f t="shared" ca="1" si="37"/>
        <v>0</v>
      </c>
      <c r="S48" s="1">
        <f t="shared" ref="S48:AA48" ca="1" si="69">S21</f>
        <v>0</v>
      </c>
      <c r="T48" s="1">
        <f t="shared" ref="T48:AA48" ca="1" si="70">IF(S21=0,0,T21*100/S21)</f>
        <v>0</v>
      </c>
      <c r="U48" s="1">
        <f t="shared" ca="1" si="40"/>
        <v>0</v>
      </c>
      <c r="V48" s="1">
        <f t="shared" ref="V48:AA48" ca="1" si="71">V21</f>
        <v>9.17</v>
      </c>
      <c r="W48" s="1">
        <f t="shared" ref="W48:AA48" ca="1" si="72">IF(V21=0,0,W21*100/V21)</f>
        <v>1.8189749182115593</v>
      </c>
      <c r="X48" s="1">
        <f t="shared" ca="1" si="43"/>
        <v>0.28756815703380589</v>
      </c>
      <c r="Y48" s="1">
        <f t="shared" ref="Y48:AA48" ca="1" si="73">Y21</f>
        <v>8.06</v>
      </c>
      <c r="Z48" s="1">
        <f t="shared" ref="Z48:AA48" ca="1" si="74">IF(Y21=0,0,Z21*100/Y21)</f>
        <v>1.2130272952853596</v>
      </c>
      <c r="AA48" s="1">
        <f t="shared" ca="1" si="46"/>
        <v>0.19181141439205954</v>
      </c>
    </row>
    <row r="49" spans="1:27" x14ac:dyDescent="0.3">
      <c r="A49" s="1">
        <v>11</v>
      </c>
      <c r="C49" s="1" t="str">
        <f t="shared" ca="1" si="21"/>
        <v>ifx_w_lu8.x</v>
      </c>
      <c r="D49" s="1">
        <f t="shared" ca="1" si="22"/>
        <v>10.025</v>
      </c>
      <c r="E49" s="1">
        <f t="shared" ca="1" si="23"/>
        <v>8.5979052369077298</v>
      </c>
      <c r="F49" s="1">
        <f t="shared" ca="1" si="25"/>
        <v>1.3595012468827929</v>
      </c>
      <c r="G49" s="1">
        <f t="shared" ref="G49:AA49" ca="1" si="75">G22</f>
        <v>10.125</v>
      </c>
      <c r="H49" s="1">
        <f t="shared" ref="H49:AA49" ca="1" si="76">IF(G22=0,0,H22*100/G22)</f>
        <v>10.769975308641975</v>
      </c>
      <c r="I49" s="1">
        <f t="shared" ca="1" si="28"/>
        <v>1.7029135802469133</v>
      </c>
      <c r="J49" s="1">
        <f t="shared" ref="J49:AA49" ca="1" si="77">J22</f>
        <v>3.7490000000000001</v>
      </c>
      <c r="K49" s="1">
        <f t="shared" ref="K49:AA49" ca="1" si="78">IF(J22=0,0,K22*100/J22)</f>
        <v>5.451587089890638</v>
      </c>
      <c r="L49" s="1">
        <f t="shared" ca="1" si="31"/>
        <v>0.862096559082422</v>
      </c>
      <c r="M49" s="1">
        <f t="shared" ref="M49:AA49" ca="1" si="79">M22</f>
        <v>8.8040000000000003</v>
      </c>
      <c r="N49" s="1">
        <f t="shared" ref="N49:AA49" ca="1" si="80">IF(M22=0,0,N22*100/M22)</f>
        <v>1.7118355293048615</v>
      </c>
      <c r="O49" s="1">
        <f t="shared" ca="1" si="34"/>
        <v>0.27067242162653338</v>
      </c>
      <c r="P49" s="1">
        <f t="shared" ref="P49:AA49" ca="1" si="81">P22</f>
        <v>0</v>
      </c>
      <c r="Q49" s="1">
        <f t="shared" ref="Q49:AA49" ca="1" si="82">IF(P22=0,0,Q22*100/P22)</f>
        <v>0</v>
      </c>
      <c r="R49" s="1">
        <f t="shared" ca="1" si="37"/>
        <v>0</v>
      </c>
      <c r="S49" s="1">
        <f t="shared" ref="S49:AA49" ca="1" si="83">S22</f>
        <v>0</v>
      </c>
      <c r="T49" s="1">
        <f t="shared" ref="T49:AA49" ca="1" si="84">IF(S22=0,0,T22*100/S22)</f>
        <v>0</v>
      </c>
      <c r="U49" s="1">
        <f t="shared" ca="1" si="40"/>
        <v>0</v>
      </c>
      <c r="V49" s="1">
        <f t="shared" ref="V49:AA49" ca="1" si="85">V22</f>
        <v>9.1379999999999999</v>
      </c>
      <c r="W49" s="1">
        <f t="shared" ref="W49:AA49" ca="1" si="86">IF(V22=0,0,W22*100/V22)</f>
        <v>2.607244473626614</v>
      </c>
      <c r="X49" s="1">
        <f t="shared" ca="1" si="43"/>
        <v>0.41223462464434235</v>
      </c>
      <c r="Y49" s="1">
        <f t="shared" ref="Y49:AA49" ca="1" si="87">Y22</f>
        <v>9.1620000000000008</v>
      </c>
      <c r="Z49" s="1">
        <f t="shared" ref="Z49:AA49" ca="1" si="88">IF(Y22=0,0,Z22*100/Y22)</f>
        <v>1.3476315215018553</v>
      </c>
      <c r="AA49" s="1">
        <f t="shared" ca="1" si="46"/>
        <v>0.21305391835843701</v>
      </c>
    </row>
    <row r="50" spans="1:27" x14ac:dyDescent="0.3">
      <c r="A50" s="1">
        <v>12</v>
      </c>
      <c r="C50" s="1" t="str">
        <f t="shared" ca="1" si="21"/>
        <v>gpp.x</v>
      </c>
      <c r="D50" s="1">
        <f t="shared" ca="1" si="22"/>
        <v>10.525</v>
      </c>
      <c r="E50" s="1">
        <f t="shared" ca="1" si="23"/>
        <v>4.0246080760095015</v>
      </c>
      <c r="F50" s="1">
        <f t="shared" ca="1" si="25"/>
        <v>0.63638954869358666</v>
      </c>
      <c r="G50" s="1">
        <f t="shared" ref="G50:AA50" ca="1" si="89">G23</f>
        <v>10.512</v>
      </c>
      <c r="H50" s="1">
        <f t="shared" ref="H50:AA50" ca="1" si="90">IF(G23=0,0,H23*100/G23)</f>
        <v>8.9394025875190266</v>
      </c>
      <c r="I50" s="1">
        <f t="shared" ca="1" si="28"/>
        <v>1.4134322678843225</v>
      </c>
      <c r="J50" s="1">
        <f t="shared" ref="J50:AA50" ca="1" si="91">J23</f>
        <v>3.9249999999999998</v>
      </c>
      <c r="K50" s="1">
        <f t="shared" ref="K50:AA50" ca="1" si="92">IF(J23=0,0,K23*100/J23)</f>
        <v>4.1959235668789816</v>
      </c>
      <c r="L50" s="1">
        <f t="shared" ca="1" si="31"/>
        <v>0.66343949044585993</v>
      </c>
      <c r="M50" s="1">
        <f t="shared" ref="M50:AA50" ca="1" si="93">M23</f>
        <v>3.8889999999999998</v>
      </c>
      <c r="N50" s="1">
        <f t="shared" ref="N50:AA50" ca="1" si="94">IF(M23=0,0,N23*100/M23)</f>
        <v>4.4847004371303685</v>
      </c>
      <c r="O50" s="1">
        <f t="shared" ca="1" si="34"/>
        <v>0.70917973772177945</v>
      </c>
      <c r="P50" s="1">
        <f t="shared" ref="P50:AA50" ca="1" si="95">P23</f>
        <v>8.2370000000000001</v>
      </c>
      <c r="Q50" s="1">
        <f t="shared" ref="Q50:AA50" ca="1" si="96">IF(P23=0,0,Q23*100/P23)</f>
        <v>33.474444579337138</v>
      </c>
      <c r="R50" s="1">
        <f t="shared" ca="1" si="37"/>
        <v>5.2928250576666267</v>
      </c>
      <c r="S50" s="1">
        <f t="shared" ref="S50:AA50" ca="1" si="97">S23</f>
        <v>5.91</v>
      </c>
      <c r="T50" s="1">
        <f t="shared" ref="T50:AA50" ca="1" si="98">IF(S23=0,0,T23*100/S23)</f>
        <v>37.597123519458542</v>
      </c>
      <c r="U50" s="1">
        <f t="shared" ca="1" si="40"/>
        <v>5.9446700507614203</v>
      </c>
      <c r="V50" s="1">
        <f t="shared" ref="V50:AA50" ca="1" si="99">V23</f>
        <v>9.609</v>
      </c>
      <c r="W50" s="1">
        <f t="shared" ref="W50:AA50" ca="1" si="100">IF(V23=0,0,W23*100/V23)</f>
        <v>0.73420751378915594</v>
      </c>
      <c r="X50" s="1">
        <f t="shared" ca="1" si="43"/>
        <v>0.11614111770215421</v>
      </c>
      <c r="Y50" s="1">
        <f t="shared" ref="Y50:AA50" ca="1" si="101">Y23</f>
        <v>9.66</v>
      </c>
      <c r="Z50" s="1">
        <f t="shared" ref="Z50:AA50" ca="1" si="102">IF(Y23=0,0,Z23*100/Y23)</f>
        <v>1.1767080745341614</v>
      </c>
      <c r="AA50" s="1">
        <f t="shared" ca="1" si="46"/>
        <v>0.18602484472049688</v>
      </c>
    </row>
    <row r="51" spans="1:27" x14ac:dyDescent="0.3">
      <c r="A51" s="1">
        <v>13</v>
      </c>
      <c r="C51" s="1" t="str">
        <f t="shared" ca="1" si="21"/>
        <v>gpp_o3.x</v>
      </c>
      <c r="D51" s="1">
        <f t="shared" ca="1" si="22"/>
        <v>10.054</v>
      </c>
      <c r="E51" s="1">
        <f t="shared" ca="1" si="23"/>
        <v>5.1232345335189979</v>
      </c>
      <c r="F51" s="1">
        <f t="shared" ca="1" si="25"/>
        <v>0.81002586035408797</v>
      </c>
      <c r="G51" s="1">
        <f t="shared" ref="G51:AA51" ca="1" si="103">G24</f>
        <v>9.6969999999999992</v>
      </c>
      <c r="H51" s="1">
        <f t="shared" ref="H51:AA51" ca="1" si="104">IF(G24=0,0,H24*100/G24)</f>
        <v>4.6740228936784574</v>
      </c>
      <c r="I51" s="1">
        <f t="shared" ca="1" si="28"/>
        <v>0.73899144065174804</v>
      </c>
      <c r="J51" s="1">
        <f t="shared" ref="J51:AA51" ca="1" si="105">J24</f>
        <v>3.7170000000000001</v>
      </c>
      <c r="K51" s="1">
        <f t="shared" ref="K51:AA51" ca="1" si="106">IF(J24=0,0,K24*100/J24)</f>
        <v>5.9435028248587569</v>
      </c>
      <c r="L51" s="1">
        <f t="shared" ca="1" si="31"/>
        <v>0.93973634651600757</v>
      </c>
      <c r="M51" s="1">
        <f t="shared" ref="M51:AA51" ca="1" si="107">M24</f>
        <v>3.6619999999999999</v>
      </c>
      <c r="N51" s="1">
        <f t="shared" ref="N51:AA51" ca="1" si="108">IF(M24=0,0,N24*100/M24)</f>
        <v>3.8498088476242489</v>
      </c>
      <c r="O51" s="1">
        <f t="shared" ca="1" si="34"/>
        <v>0.60868377935554341</v>
      </c>
      <c r="P51" s="1">
        <f t="shared" ref="P51:AA51" ca="1" si="109">P24</f>
        <v>6.3570000000000002</v>
      </c>
      <c r="Q51" s="1">
        <f t="shared" ref="Q51:AA51" ca="1" si="110">IF(P24=0,0,Q24*100/P24)</f>
        <v>15.712442976246656</v>
      </c>
      <c r="R51" s="1">
        <f t="shared" ca="1" si="37"/>
        <v>2.48434796287557</v>
      </c>
      <c r="S51" s="1">
        <f t="shared" ref="S51:AA51" ca="1" si="111">S24</f>
        <v>5.9080000000000004</v>
      </c>
      <c r="T51" s="1">
        <f t="shared" ref="T51:AA51" ca="1" si="112">IF(S24=0,0,T24*100/S24)</f>
        <v>17.541807718348</v>
      </c>
      <c r="U51" s="1">
        <f t="shared" ca="1" si="40"/>
        <v>2.7735274204468516</v>
      </c>
      <c r="V51" s="1">
        <f t="shared" ref="V51:AA51" ca="1" si="113">V24</f>
        <v>8.6110000000000007</v>
      </c>
      <c r="W51" s="1">
        <f t="shared" ref="W51:AA51" ca="1" si="114">IF(V24=0,0,W24*100/V24)</f>
        <v>1.6449889675995817</v>
      </c>
      <c r="X51" s="1">
        <f t="shared" ca="1" si="43"/>
        <v>0.26013238880501677</v>
      </c>
      <c r="Y51" s="1">
        <f t="shared" ref="Y51:AA51" ca="1" si="115">Y24</f>
        <v>7.9960000000000004</v>
      </c>
      <c r="Z51" s="1">
        <f t="shared" ref="Z51:AA51" ca="1" si="116">IF(Y24=0,0,Z24*100/Y24)</f>
        <v>0.96435717858929448</v>
      </c>
      <c r="AA51" s="1">
        <f t="shared" ca="1" si="46"/>
        <v>0.15245122561280638</v>
      </c>
    </row>
    <row r="52" spans="1:27" x14ac:dyDescent="0.3">
      <c r="A52" s="1">
        <v>14</v>
      </c>
      <c r="C52" s="1" t="str">
        <f t="shared" ca="1" si="21"/>
        <v>gpp_w_lu2.x</v>
      </c>
      <c r="D52" s="1">
        <f t="shared" ca="1" si="22"/>
        <v>10.502000000000001</v>
      </c>
      <c r="E52" s="1">
        <f t="shared" ca="1" si="23"/>
        <v>6.5592268139402004</v>
      </c>
      <c r="F52" s="1">
        <f t="shared" ca="1" si="25"/>
        <v>1.0371357836602551</v>
      </c>
      <c r="G52" s="1">
        <f t="shared" ref="G52:AA52" ca="1" si="117">G25</f>
        <v>10.634</v>
      </c>
      <c r="H52" s="1">
        <f t="shared" ref="H52:AA52" ca="1" si="118">IF(G25=0,0,H25*100/G25)</f>
        <v>9.4446116230957298</v>
      </c>
      <c r="I52" s="1">
        <f t="shared" ca="1" si="28"/>
        <v>1.4933233026142561</v>
      </c>
      <c r="J52" s="1">
        <f t="shared" ref="J52:AA52" ca="1" si="119">J25</f>
        <v>4.0090000000000003</v>
      </c>
      <c r="K52" s="1">
        <f t="shared" ref="K52:AA52" ca="1" si="120">IF(J25=0,0,K25*100/J25)</f>
        <v>4.3856323272636564</v>
      </c>
      <c r="L52" s="1">
        <f t="shared" ca="1" si="31"/>
        <v>0.69343976053878764</v>
      </c>
      <c r="M52" s="1">
        <f t="shared" ref="M52:AA52" ca="1" si="121">M25</f>
        <v>3.8260000000000001</v>
      </c>
      <c r="N52" s="1">
        <f t="shared" ref="N52:AA52" ca="1" si="122">IF(M25=0,0,N25*100/M25)</f>
        <v>3.276006272869838</v>
      </c>
      <c r="O52" s="1">
        <f t="shared" ca="1" si="34"/>
        <v>0.51803450078410873</v>
      </c>
      <c r="P52" s="1">
        <f t="shared" ref="P52:AA52" ca="1" si="123">P25</f>
        <v>6.0860000000000003</v>
      </c>
      <c r="Q52" s="1">
        <f t="shared" ref="Q52:AA52" ca="1" si="124">IF(P25=0,0,Q25*100/P25)</f>
        <v>13.943312520538941</v>
      </c>
      <c r="R52" s="1">
        <f t="shared" ca="1" si="37"/>
        <v>2.2045678606638188</v>
      </c>
      <c r="S52" s="1">
        <f t="shared" ref="S52:AA52" ca="1" si="125">S25</f>
        <v>4.7699999999999996</v>
      </c>
      <c r="T52" s="1">
        <f t="shared" ref="T52:AA52" ca="1" si="126">IF(S25=0,0,T25*100/S25)</f>
        <v>23.366037735849059</v>
      </c>
      <c r="U52" s="1">
        <f t="shared" ca="1" si="40"/>
        <v>3.69454926624738</v>
      </c>
      <c r="V52" s="1">
        <f t="shared" ref="V52:AA52" ca="1" si="127">V25</f>
        <v>9.3740000000000006</v>
      </c>
      <c r="W52" s="1">
        <f t="shared" ref="W52:AA52" ca="1" si="128">IF(V25=0,0,W25*100/V25)</f>
        <v>1.2176232131427351</v>
      </c>
      <c r="X52" s="1">
        <f t="shared" ca="1" si="43"/>
        <v>0.19255387241305738</v>
      </c>
      <c r="Y52" s="1">
        <f t="shared" ref="Y52:AA52" ca="1" si="129">Y25</f>
        <v>9.391</v>
      </c>
      <c r="Z52" s="1">
        <f t="shared" ref="Z52:AA52" ca="1" si="130">IF(Y25=0,0,Z25*100/Y25)</f>
        <v>1.4289213076349696</v>
      </c>
      <c r="AA52" s="1">
        <f t="shared" ca="1" si="46"/>
        <v>0.22596102651474814</v>
      </c>
    </row>
    <row r="53" spans="1:27" x14ac:dyDescent="0.3">
      <c r="A53" s="1">
        <v>15</v>
      </c>
      <c r="C53" s="1" t="str">
        <f t="shared" ca="1" si="21"/>
        <v>gpp_w_lu2_o3.x</v>
      </c>
      <c r="D53" s="1">
        <f t="shared" ca="1" si="22"/>
        <v>9.9120000000000008</v>
      </c>
      <c r="E53" s="1">
        <f t="shared" ca="1" si="23"/>
        <v>2.7238700564971752</v>
      </c>
      <c r="F53" s="1">
        <f t="shared" ca="1" si="25"/>
        <v>0.43069007263922515</v>
      </c>
      <c r="G53" s="1">
        <f t="shared" ref="G53:AA53" ca="1" si="131">G26</f>
        <v>9.9659999999999993</v>
      </c>
      <c r="H53" s="1">
        <f t="shared" ref="H53:AA53" ca="1" si="132">IF(G26=0,0,H26*100/G26)</f>
        <v>6.1635560907084095</v>
      </c>
      <c r="I53" s="1">
        <f t="shared" ca="1" si="28"/>
        <v>0.97451334537427259</v>
      </c>
      <c r="J53" s="1">
        <f t="shared" ref="J53:AA53" ca="1" si="133">J26</f>
        <v>3.859</v>
      </c>
      <c r="K53" s="1">
        <f t="shared" ref="K53:AA53" ca="1" si="134">IF(J26=0,0,K26*100/J26)</f>
        <v>5.7092511013215859</v>
      </c>
      <c r="L53" s="1">
        <f t="shared" ca="1" si="31"/>
        <v>0.90282456594972804</v>
      </c>
      <c r="M53" s="1">
        <f t="shared" ref="M53:AA53" ca="1" si="135">M26</f>
        <v>3.7869999999999999</v>
      </c>
      <c r="N53" s="1">
        <f t="shared" ref="N53:AA53" ca="1" si="136">IF(M26=0,0,N26*100/M26)</f>
        <v>7.5075257459730658</v>
      </c>
      <c r="O53" s="1">
        <f t="shared" ca="1" si="34"/>
        <v>1.186955373646686</v>
      </c>
      <c r="P53" s="1">
        <f t="shared" ref="P53:AA53" ca="1" si="137">P26</f>
        <v>6.47</v>
      </c>
      <c r="Q53" s="1">
        <f t="shared" ref="Q53:AA53" ca="1" si="138">IF(P26=0,0,Q26*100/P26)</f>
        <v>22.178979907264296</v>
      </c>
      <c r="R53" s="1">
        <f t="shared" ca="1" si="37"/>
        <v>3.5068006182380218</v>
      </c>
      <c r="S53" s="1">
        <f t="shared" ref="S53:AA53" ca="1" si="139">S26</f>
        <v>5.64</v>
      </c>
      <c r="T53" s="1">
        <f t="shared" ref="T53:AA53" ca="1" si="140">IF(S26=0,0,T26*100/S26)</f>
        <v>29.895390070921984</v>
      </c>
      <c r="U53" s="1">
        <f t="shared" ca="1" si="40"/>
        <v>4.7269503546099294</v>
      </c>
      <c r="V53" s="1">
        <f t="shared" ref="V53:AA53" ca="1" si="141">V26</f>
        <v>8.7650000000000006</v>
      </c>
      <c r="W53" s="1">
        <f t="shared" ref="W53:AA53" ca="1" si="142">IF(V26=0,0,W26*100/V26)</f>
        <v>1.4018254420992582</v>
      </c>
      <c r="X53" s="1">
        <f t="shared" ca="1" si="43"/>
        <v>0.22167712492869363</v>
      </c>
      <c r="Y53" s="1">
        <f t="shared" ref="Y53:AA53" ca="1" si="143">Y26</f>
        <v>8.0090000000000003</v>
      </c>
      <c r="Z53" s="1">
        <f t="shared" ref="Z53:AA53" ca="1" si="144">IF(Y26=0,0,Z26*100/Y26)</f>
        <v>1.3062804345111749</v>
      </c>
      <c r="AA53" s="1">
        <f t="shared" ca="1" si="46"/>
        <v>0.20651766762392307</v>
      </c>
    </row>
    <row r="54" spans="1:27" x14ac:dyDescent="0.3">
      <c r="A54" s="1">
        <v>16</v>
      </c>
      <c r="C54" s="1" t="str">
        <f t="shared" ca="1" si="21"/>
        <v>gpp_w_lu4.x</v>
      </c>
      <c r="D54" s="1">
        <f t="shared" ca="1" si="22"/>
        <v>10.252000000000001</v>
      </c>
      <c r="E54" s="1">
        <f t="shared" ca="1" si="23"/>
        <v>4.92381974248927</v>
      </c>
      <c r="F54" s="1">
        <f t="shared" ca="1" si="25"/>
        <v>0.77857978930940297</v>
      </c>
      <c r="G54" s="1">
        <f t="shared" ref="G54:AA54" ca="1" si="145">G27</f>
        <v>10.268000000000001</v>
      </c>
      <c r="H54" s="1">
        <f t="shared" ref="H54:AA54" ca="1" si="146">IF(G27=0,0,H27*100/G27)</f>
        <v>6.5173354109855861</v>
      </c>
      <c r="I54" s="1">
        <f t="shared" ca="1" si="28"/>
        <v>1.0304830541488117</v>
      </c>
      <c r="J54" s="1">
        <f t="shared" ref="J54:AA54" ca="1" si="147">J27</f>
        <v>3.8290000000000002</v>
      </c>
      <c r="K54" s="1">
        <f t="shared" ref="K54:AA54" ca="1" si="148">IF(J27=0,0,K27*100/J27)</f>
        <v>5.5805693392530689</v>
      </c>
      <c r="L54" s="1">
        <f t="shared" ca="1" si="31"/>
        <v>0.8824758422564638</v>
      </c>
      <c r="M54" s="1">
        <f t="shared" ref="M54:AA54" ca="1" si="149">M27</f>
        <v>3.8759999999999999</v>
      </c>
      <c r="N54" s="1">
        <f t="shared" ref="N54:AA54" ca="1" si="150">IF(M27=0,0,N27*100/M27)</f>
        <v>5.8188854489164088</v>
      </c>
      <c r="O54" s="1">
        <f t="shared" ca="1" si="34"/>
        <v>0.92002063983488136</v>
      </c>
      <c r="P54" s="1">
        <f t="shared" ref="P54:AA54" ca="1" si="151">P27</f>
        <v>6.21</v>
      </c>
      <c r="Q54" s="1">
        <f t="shared" ref="Q54:AA54" ca="1" si="152">IF(P27=0,0,Q27*100/P27)</f>
        <v>8.4938808373590984</v>
      </c>
      <c r="R54" s="1">
        <f t="shared" ca="1" si="37"/>
        <v>1.3429951690821256</v>
      </c>
      <c r="S54" s="1">
        <f t="shared" ref="S54:AA54" ca="1" si="153">S27</f>
        <v>6.3179999999999996</v>
      </c>
      <c r="T54" s="1">
        <f t="shared" ref="T54:AA54" ca="1" si="154">IF(S27=0,0,T27*100/S27)</f>
        <v>21.253244697689148</v>
      </c>
      <c r="U54" s="1">
        <f t="shared" ca="1" si="40"/>
        <v>3.360398860398861</v>
      </c>
      <c r="V54" s="1">
        <f t="shared" ref="V54:AA54" ca="1" si="155">V27</f>
        <v>9.1170000000000009</v>
      </c>
      <c r="W54" s="1">
        <f t="shared" ref="W54:AA54" ca="1" si="156">IF(V27=0,0,W27*100/V27)</f>
        <v>1.5445870352089504</v>
      </c>
      <c r="X54" s="1">
        <f t="shared" ca="1" si="43"/>
        <v>0.24415926291543269</v>
      </c>
      <c r="Y54" s="1">
        <f t="shared" ref="Y54:AA54" ca="1" si="157">Y27</f>
        <v>9.0259999999999998</v>
      </c>
      <c r="Z54" s="1">
        <f t="shared" ref="Z54:AA54" ca="1" si="158">IF(Y27=0,0,Z27*100/Y27)</f>
        <v>1.8884334145801018</v>
      </c>
      <c r="AA54" s="1">
        <f t="shared" ca="1" si="46"/>
        <v>0.29858187458453361</v>
      </c>
    </row>
    <row r="55" spans="1:27" x14ac:dyDescent="0.3">
      <c r="A55" s="1">
        <v>17</v>
      </c>
      <c r="C55" s="1" t="str">
        <f t="shared" ca="1" si="21"/>
        <v>gpp_w_lu8.x</v>
      </c>
      <c r="D55" s="1">
        <f t="shared" ca="1" si="22"/>
        <v>10.201000000000001</v>
      </c>
      <c r="E55" s="1">
        <f t="shared" ca="1" si="23"/>
        <v>4.0811685128908932</v>
      </c>
      <c r="F55" s="1">
        <f t="shared" ca="1" si="25"/>
        <v>0.64532888932457599</v>
      </c>
      <c r="G55" s="1">
        <f t="shared" ref="G55:AA55" ca="1" si="159">G28</f>
        <v>10.256</v>
      </c>
      <c r="H55" s="1">
        <f t="shared" ref="H55:AA55" ca="1" si="160">IF(G28=0,0,H28*100/G28)</f>
        <v>4.8145475819032759</v>
      </c>
      <c r="I55" s="1">
        <f t="shared" ca="1" si="28"/>
        <v>0.76121294851794075</v>
      </c>
      <c r="J55" s="1">
        <f t="shared" ref="J55:AA55" ca="1" si="161">J28</f>
        <v>3.8159999999999998</v>
      </c>
      <c r="K55" s="1">
        <f t="shared" ref="K55:AA55" ca="1" si="162">IF(J28=0,0,K28*100/J28)</f>
        <v>4.0576519916142555</v>
      </c>
      <c r="L55" s="1">
        <f t="shared" ca="1" si="31"/>
        <v>0.64150943396226412</v>
      </c>
      <c r="M55" s="1">
        <f t="shared" ref="M55:AA55" ca="1" si="163">M28</f>
        <v>3.8250000000000002</v>
      </c>
      <c r="N55" s="1">
        <f t="shared" ref="N55:AA55" ca="1" si="164">IF(M28=0,0,N28*100/M28)</f>
        <v>7.0802614379084963</v>
      </c>
      <c r="O55" s="1">
        <f t="shared" ca="1" si="34"/>
        <v>1.1194771241830066</v>
      </c>
      <c r="P55" s="1">
        <f t="shared" ref="P55:AA55" ca="1" si="165">P28</f>
        <v>6.91</v>
      </c>
      <c r="Q55" s="1">
        <f t="shared" ref="Q55:AA55" ca="1" si="166">IF(P28=0,0,Q28*100/P28)</f>
        <v>13.408104196816209</v>
      </c>
      <c r="R55" s="1">
        <f t="shared" ca="1" si="37"/>
        <v>2.1199710564399421</v>
      </c>
      <c r="S55" s="1">
        <f t="shared" ref="S55:AA55" ca="1" si="167">S28</f>
        <v>6.95</v>
      </c>
      <c r="T55" s="1">
        <f t="shared" ref="T55:AA55" ca="1" si="168">IF(S28=0,0,T28*100/S28)</f>
        <v>17.697410071942446</v>
      </c>
      <c r="U55" s="1">
        <f t="shared" ca="1" si="40"/>
        <v>2.7982733812949641</v>
      </c>
      <c r="V55" s="1">
        <f t="shared" ref="V55:AA55" ca="1" si="169">V28</f>
        <v>9.0310000000000006</v>
      </c>
      <c r="W55" s="1">
        <f t="shared" ref="W55:AA55" ca="1" si="170">IF(V28=0,0,W28*100/V28)</f>
        <v>1.0022145941756173</v>
      </c>
      <c r="X55" s="1">
        <f t="shared" ca="1" si="43"/>
        <v>0.15845421326541911</v>
      </c>
      <c r="Y55" s="1">
        <f t="shared" ref="Y55:AA55" ca="1" si="171">Y28</f>
        <v>9.0289999999999999</v>
      </c>
      <c r="Z55" s="1">
        <f t="shared" ref="Z55:AA55" ca="1" si="172">IF(Y28=0,0,Z28*100/Y28)</f>
        <v>1.5811274781260383</v>
      </c>
      <c r="AA55" s="1">
        <f t="shared" ca="1" si="46"/>
        <v>0.24997231144091264</v>
      </c>
    </row>
    <row r="56" spans="1:27" x14ac:dyDescent="0.3">
      <c r="A56" s="1">
        <v>18</v>
      </c>
      <c r="C56" s="1" t="str">
        <f t="shared" ca="1" si="21"/>
        <v>icx.x</v>
      </c>
      <c r="D56" s="1">
        <f t="shared" ca="1" si="22"/>
        <v>10.114000000000001</v>
      </c>
      <c r="E56" s="1">
        <f t="shared" ca="1" si="23"/>
        <v>3.8541625469646035</v>
      </c>
      <c r="F56" s="1">
        <f t="shared" ca="1" si="25"/>
        <v>0.60935337156416836</v>
      </c>
      <c r="G56" s="1">
        <f t="shared" ref="G56:AA56" ca="1" si="173">G29</f>
        <v>10.128</v>
      </c>
      <c r="H56" s="1">
        <f t="shared" ref="H56:AA56" ca="1" si="174">IF(G29=0,0,H29*100/G29)</f>
        <v>6.4276263823064763</v>
      </c>
      <c r="I56" s="1">
        <f t="shared" ca="1" si="28"/>
        <v>1.0162914691943128</v>
      </c>
      <c r="J56" s="1">
        <f t="shared" ref="J56:AA56" ca="1" si="175">J29</f>
        <v>3.7080000000000002</v>
      </c>
      <c r="K56" s="1">
        <f t="shared" ref="K56:AA56" ca="1" si="176">IF(J29=0,0,K29*100/J29)</f>
        <v>4.6742179072276162</v>
      </c>
      <c r="L56" s="1">
        <f t="shared" ca="1" si="31"/>
        <v>0.73894282632146713</v>
      </c>
      <c r="M56" s="1">
        <f t="shared" ref="M56:AA56" ca="1" si="177">M29</f>
        <v>3.8109999999999999</v>
      </c>
      <c r="N56" s="1">
        <f t="shared" ref="N56:AA56" ca="1" si="178">IF(M29=0,0,N29*100/M29)</f>
        <v>6.7336657045394919</v>
      </c>
      <c r="O56" s="1">
        <f t="shared" ca="1" si="34"/>
        <v>1.0648123852007347</v>
      </c>
      <c r="P56" s="1">
        <f t="shared" ref="P56:AA56" ca="1" si="179">P29</f>
        <v>0</v>
      </c>
      <c r="Q56" s="1">
        <f t="shared" ref="Q56:AA56" ca="1" si="180">IF(P29=0,0,Q29*100/P29)</f>
        <v>0</v>
      </c>
      <c r="R56" s="1">
        <f t="shared" ca="1" si="37"/>
        <v>0</v>
      </c>
      <c r="S56" s="1">
        <f t="shared" ref="S56:AA56" ca="1" si="181">S29</f>
        <v>0</v>
      </c>
      <c r="T56" s="1">
        <f t="shared" ref="T56:AA56" ca="1" si="182">IF(S29=0,0,T29*100/S29)</f>
        <v>0</v>
      </c>
      <c r="U56" s="1">
        <f t="shared" ca="1" si="40"/>
        <v>0</v>
      </c>
      <c r="V56" s="1">
        <f t="shared" ref="V56:AA56" ca="1" si="183">V29</f>
        <v>8.6969999999999992</v>
      </c>
      <c r="W56" s="1">
        <f t="shared" ref="W56:AA56" ca="1" si="184">IF(V29=0,0,W29*100/V29)</f>
        <v>1.3297688858226975</v>
      </c>
      <c r="X56" s="1">
        <f t="shared" ca="1" si="43"/>
        <v>0.21030240312751527</v>
      </c>
      <c r="Y56" s="1">
        <f t="shared" ref="Y56:AA56" ca="1" si="185">Y29</f>
        <v>8.0239999999999991</v>
      </c>
      <c r="Z56" s="1">
        <f t="shared" ref="Z56:AA56" ca="1" si="186">IF(Y29=0,0,Z29*100/Y29)</f>
        <v>1.089356929212363</v>
      </c>
      <c r="AA56" s="1">
        <f t="shared" ca="1" si="46"/>
        <v>0.17223330009970092</v>
      </c>
    </row>
    <row r="57" spans="1:27" x14ac:dyDescent="0.3">
      <c r="A57" s="1">
        <v>19</v>
      </c>
      <c r="C57" s="1" t="str">
        <f t="shared" ca="1" si="21"/>
        <v>icx_o3.x</v>
      </c>
      <c r="D57" s="1">
        <f t="shared" ca="1" si="22"/>
        <v>10.196999999999999</v>
      </c>
      <c r="E57" s="1">
        <f t="shared" ca="1" si="23"/>
        <v>4.0518780033343145</v>
      </c>
      <c r="F57" s="1">
        <f t="shared" ca="1" si="25"/>
        <v>0.64067863096989308</v>
      </c>
      <c r="G57" s="1">
        <f t="shared" ref="G57:AA57" ca="1" si="187">G30</f>
        <v>9.8379999999999992</v>
      </c>
      <c r="H57" s="1">
        <f t="shared" ref="H57:AA57" ca="1" si="188">IF(G30=0,0,H30*100/G30)</f>
        <v>5.9440943281154706</v>
      </c>
      <c r="I57" s="1">
        <f t="shared" ca="1" si="28"/>
        <v>0.93982516771701574</v>
      </c>
      <c r="J57" s="1">
        <f t="shared" ref="J57:AA57" ca="1" si="189">J30</f>
        <v>3.73</v>
      </c>
      <c r="K57" s="1">
        <f t="shared" ref="K57:AA57" ca="1" si="190">IF(J30=0,0,K30*100/J30)</f>
        <v>5.1034852546916891</v>
      </c>
      <c r="L57" s="1">
        <f t="shared" ca="1" si="31"/>
        <v>0.806970509383378</v>
      </c>
      <c r="M57" s="1">
        <f t="shared" ref="M57:AA57" ca="1" si="191">M30</f>
        <v>3.6469999999999998</v>
      </c>
      <c r="N57" s="1">
        <f t="shared" ref="N57:AA57" ca="1" si="192">IF(M30=0,0,N30*100/M30)</f>
        <v>5.3915547024952017</v>
      </c>
      <c r="O57" s="1">
        <f t="shared" ca="1" si="34"/>
        <v>0.85248149163696196</v>
      </c>
      <c r="P57" s="1">
        <f t="shared" ref="P57:AA57" ca="1" si="193">P30</f>
        <v>0</v>
      </c>
      <c r="Q57" s="1">
        <f t="shared" ref="Q57:AA57" ca="1" si="194">IF(P30=0,0,Q30*100/P30)</f>
        <v>0</v>
      </c>
      <c r="R57" s="1">
        <f t="shared" ca="1" si="37"/>
        <v>0</v>
      </c>
      <c r="S57" s="1">
        <f t="shared" ref="S57:AA57" ca="1" si="195">S30</f>
        <v>0</v>
      </c>
      <c r="T57" s="1">
        <f t="shared" ref="T57:AA57" ca="1" si="196">IF(S30=0,0,T30*100/S30)</f>
        <v>0</v>
      </c>
      <c r="U57" s="1">
        <f t="shared" ca="1" si="40"/>
        <v>0</v>
      </c>
      <c r="V57" s="1">
        <f t="shared" ref="V57:AA57" ca="1" si="197">V30</f>
        <v>8.6440000000000001</v>
      </c>
      <c r="W57" s="1">
        <f t="shared" ref="W57:AA57" ca="1" si="198">IF(V30=0,0,W30*100/V30)</f>
        <v>1.2872512725590004</v>
      </c>
      <c r="X57" s="1">
        <f t="shared" ca="1" si="43"/>
        <v>0.20349375289217955</v>
      </c>
      <c r="Y57" s="1">
        <f t="shared" ref="Y57:AA57" ca="1" si="199">Y30</f>
        <v>8.032</v>
      </c>
      <c r="Z57" s="1">
        <f t="shared" ref="Z57:AA57" ca="1" si="200">IF(Y30=0,0,Z30*100/Y30)</f>
        <v>1.7181274900398407</v>
      </c>
      <c r="AA57" s="1">
        <f t="shared" ca="1" si="46"/>
        <v>0.2716633466135458</v>
      </c>
    </row>
    <row r="58" spans="1:27" x14ac:dyDescent="0.3">
      <c r="A58" s="1">
        <v>20</v>
      </c>
      <c r="C58" s="1" t="str">
        <f t="shared" ca="1" si="21"/>
        <v>icx_w_lu2.x</v>
      </c>
      <c r="D58" s="1">
        <f t="shared" ca="1" si="22"/>
        <v>10.013999999999999</v>
      </c>
      <c r="E58" s="1">
        <f t="shared" ca="1" si="23"/>
        <v>2.5283602955861797</v>
      </c>
      <c r="F58" s="1">
        <f t="shared" ca="1" si="25"/>
        <v>0.39974036349111247</v>
      </c>
      <c r="G58" s="1">
        <f t="shared" ref="G58:AA58" ca="1" si="201">G31</f>
        <v>9.6790000000000003</v>
      </c>
      <c r="H58" s="1">
        <f t="shared" ref="H58:AA58" ca="1" si="202">IF(G31=0,0,H31*100/G31)</f>
        <v>7.2730653993181109</v>
      </c>
      <c r="I58" s="1">
        <f t="shared" ca="1" si="28"/>
        <v>1.1500154974687469</v>
      </c>
      <c r="J58" s="1">
        <f t="shared" ref="J58:AA58" ca="1" si="203">J31</f>
        <v>3.843</v>
      </c>
      <c r="K58" s="1">
        <f t="shared" ref="K58:AA58" ca="1" si="204">IF(J31=0,0,K31*100/J31)</f>
        <v>6.5396825396825395</v>
      </c>
      <c r="L58" s="1">
        <f t="shared" ca="1" si="31"/>
        <v>1.0340879521207389</v>
      </c>
      <c r="M58" s="1">
        <f t="shared" ref="M58:AA58" ca="1" si="205">M31</f>
        <v>3.6339999999999999</v>
      </c>
      <c r="N58" s="1">
        <f t="shared" ref="N58:AA58" ca="1" si="206">IF(M31=0,0,N31*100/M31)</f>
        <v>5.7242707760044027</v>
      </c>
      <c r="O58" s="1">
        <f t="shared" ca="1" si="34"/>
        <v>0.90506329113924056</v>
      </c>
      <c r="P58" s="1">
        <f t="shared" ref="P58:AA58" ca="1" si="207">P31</f>
        <v>0</v>
      </c>
      <c r="Q58" s="1">
        <f t="shared" ref="Q58:AA58" ca="1" si="208">IF(P31=0,0,Q31*100/P31)</f>
        <v>0</v>
      </c>
      <c r="R58" s="1">
        <f t="shared" ca="1" si="37"/>
        <v>0</v>
      </c>
      <c r="S58" s="1">
        <f t="shared" ref="S58:AA58" ca="1" si="209">S31</f>
        <v>0</v>
      </c>
      <c r="T58" s="1">
        <f t="shared" ref="T58:AA58" ca="1" si="210">IF(S31=0,0,T31*100/S31)</f>
        <v>0</v>
      </c>
      <c r="U58" s="1">
        <f t="shared" ca="1" si="40"/>
        <v>0</v>
      </c>
      <c r="V58" s="1">
        <f t="shared" ref="V58:AA58" ca="1" si="211">V31</f>
        <v>8.6709999999999994</v>
      </c>
      <c r="W58" s="1">
        <f t="shared" ref="W58:AA58" ca="1" si="212">IF(V31=0,0,W31*100/V31)</f>
        <v>1.0033444816053512</v>
      </c>
      <c r="X58" s="1">
        <f t="shared" ca="1" si="43"/>
        <v>0.1586898858263176</v>
      </c>
      <c r="Y58" s="1">
        <f t="shared" ref="Y58:AA58" ca="1" si="213">Y31</f>
        <v>7.9809999999999999</v>
      </c>
      <c r="Z58" s="1">
        <f t="shared" ref="Z58:AA58" ca="1" si="214">IF(Y31=0,0,Z31*100/Y31)</f>
        <v>0.95288810925949141</v>
      </c>
      <c r="AA58" s="1">
        <f t="shared" ca="1" si="46"/>
        <v>0.15060769327151985</v>
      </c>
    </row>
    <row r="59" spans="1:27" x14ac:dyDescent="0.3">
      <c r="A59" s="1">
        <v>21</v>
      </c>
      <c r="C59" s="1" t="str">
        <f t="shared" ca="1" si="21"/>
        <v>icx_w_lu2_o3.x</v>
      </c>
      <c r="D59" s="1">
        <f t="shared" ca="1" si="22"/>
        <v>10.131</v>
      </c>
      <c r="E59" s="1">
        <f t="shared" ca="1" si="23"/>
        <v>3.9529167900503404</v>
      </c>
      <c r="F59" s="1">
        <f t="shared" ca="1" si="25"/>
        <v>0.62501233836738723</v>
      </c>
      <c r="G59" s="1">
        <f t="shared" ref="G59:AA59" ca="1" si="215">G32</f>
        <v>10.273999999999999</v>
      </c>
      <c r="H59" s="1">
        <f t="shared" ref="H59:AA59" ca="1" si="216">IF(G32=0,0,H32*100/G32)</f>
        <v>7.1127116994354678</v>
      </c>
      <c r="I59" s="1">
        <f t="shared" ca="1" si="28"/>
        <v>1.1245863344364415</v>
      </c>
      <c r="J59" s="1">
        <f t="shared" ref="J59:AA59" ca="1" si="217">J32</f>
        <v>3.85</v>
      </c>
      <c r="K59" s="1">
        <f t="shared" ref="K59:AA59" ca="1" si="218">IF(J32=0,0,K32*100/J32)</f>
        <v>5.6387012987012985</v>
      </c>
      <c r="L59" s="1">
        <f t="shared" ca="1" si="31"/>
        <v>0.89142857142857146</v>
      </c>
      <c r="M59" s="1">
        <f t="shared" ref="M59:AA59" ca="1" si="219">M32</f>
        <v>3.7080000000000002</v>
      </c>
      <c r="N59" s="1">
        <f t="shared" ref="N59:AA59" ca="1" si="220">IF(M32=0,0,N32*100/M32)</f>
        <v>6.5</v>
      </c>
      <c r="O59" s="1">
        <f t="shared" ca="1" si="34"/>
        <v>1.0277777777777777</v>
      </c>
      <c r="P59" s="1">
        <f t="shared" ref="P59:AA59" ca="1" si="221">P32</f>
        <v>0</v>
      </c>
      <c r="Q59" s="1">
        <f t="shared" ref="Q59:AA59" ca="1" si="222">IF(P32=0,0,Q32*100/P32)</f>
        <v>0</v>
      </c>
      <c r="R59" s="1">
        <f t="shared" ca="1" si="37"/>
        <v>0</v>
      </c>
      <c r="S59" s="1">
        <f t="shared" ref="S59:AA59" ca="1" si="223">S32</f>
        <v>0</v>
      </c>
      <c r="T59" s="1">
        <f t="shared" ref="T59:AA59" ca="1" si="224">IF(S32=0,0,T32*100/S32)</f>
        <v>0</v>
      </c>
      <c r="U59" s="1">
        <f t="shared" ca="1" si="40"/>
        <v>0</v>
      </c>
      <c r="V59" s="1">
        <f t="shared" ref="V59:AA59" ca="1" si="225">V32</f>
        <v>8.6129999999999995</v>
      </c>
      <c r="W59" s="1">
        <f t="shared" ref="W59:AA59" ca="1" si="226">IF(V32=0,0,W32*100/V32)</f>
        <v>1.3207941483803554</v>
      </c>
      <c r="X59" s="1">
        <f t="shared" ca="1" si="43"/>
        <v>0.20887031231858819</v>
      </c>
      <c r="Y59" s="1">
        <f t="shared" ref="Y59:AA59" ca="1" si="227">Y32</f>
        <v>8.01</v>
      </c>
      <c r="Z59" s="1">
        <f t="shared" ref="Z59:AA59" ca="1" si="228">IF(Y32=0,0,Z32*100/Y32)</f>
        <v>1.0324594257178528</v>
      </c>
      <c r="AA59" s="1">
        <f t="shared" ca="1" si="46"/>
        <v>0.16329588014981275</v>
      </c>
    </row>
    <row r="60" spans="1:27" x14ac:dyDescent="0.3">
      <c r="A60" s="1">
        <v>22</v>
      </c>
      <c r="C60" s="1" t="str">
        <f t="shared" ca="1" si="21"/>
        <v>icx_w_lu4.x</v>
      </c>
      <c r="D60" s="1">
        <f t="shared" ca="1" si="22"/>
        <v>10.502000000000001</v>
      </c>
      <c r="E60" s="1">
        <f t="shared" ca="1" si="23"/>
        <v>3.3870691296895834</v>
      </c>
      <c r="F60" s="1">
        <f t="shared" ca="1" si="25"/>
        <v>0.53551704437250036</v>
      </c>
      <c r="G60" s="1">
        <f t="shared" ref="G60:AA60" ca="1" si="229">G33</f>
        <v>10.311999999999999</v>
      </c>
      <c r="H60" s="1">
        <f t="shared" ref="H60:AA60" ca="1" si="230">IF(G33=0,0,H33*100/G33)</f>
        <v>6.2163498836307216</v>
      </c>
      <c r="I60" s="1">
        <f t="shared" ca="1" si="28"/>
        <v>0.98293250581846403</v>
      </c>
      <c r="J60" s="1">
        <f t="shared" ref="J60:AA60" ca="1" si="231">J33</f>
        <v>3.7480000000000002</v>
      </c>
      <c r="K60" s="1">
        <f t="shared" ref="K60:AA60" ca="1" si="232">IF(J33=0,0,K33*100/J33)</f>
        <v>5.1832977588046951</v>
      </c>
      <c r="L60" s="1">
        <f t="shared" ca="1" si="31"/>
        <v>0.81963713980789754</v>
      </c>
      <c r="M60" s="1">
        <f t="shared" ref="M60:AA60" ca="1" si="233">M33</f>
        <v>3.71</v>
      </c>
      <c r="N60" s="1">
        <f t="shared" ref="N60:AA60" ca="1" si="234">IF(M33=0,0,N33*100/M33)</f>
        <v>5.2582210242587601</v>
      </c>
      <c r="O60" s="1">
        <f t="shared" ca="1" si="34"/>
        <v>0.83153638814016173</v>
      </c>
      <c r="P60" s="1">
        <f t="shared" ref="P60:AA60" ca="1" si="235">P33</f>
        <v>0</v>
      </c>
      <c r="Q60" s="1">
        <f t="shared" ref="Q60:AA60" ca="1" si="236">IF(P33=0,0,Q33*100/P33)</f>
        <v>0</v>
      </c>
      <c r="R60" s="1">
        <f t="shared" ca="1" si="37"/>
        <v>0</v>
      </c>
      <c r="S60" s="1">
        <f t="shared" ref="S60:AA60" ca="1" si="237">S33</f>
        <v>0</v>
      </c>
      <c r="T60" s="1">
        <f t="shared" ref="T60:AA60" ca="1" si="238">IF(S33=0,0,T33*100/S33)</f>
        <v>0</v>
      </c>
      <c r="U60" s="1">
        <f t="shared" ca="1" si="40"/>
        <v>0</v>
      </c>
      <c r="V60" s="1">
        <f t="shared" ref="V60:AA60" ca="1" si="239">V33</f>
        <v>8.6289999999999996</v>
      </c>
      <c r="W60" s="1">
        <f t="shared" ref="W60:AA60" ca="1" si="240">IF(V33=0,0,W33*100/V33)</f>
        <v>1.7605748058871249</v>
      </c>
      <c r="X60" s="1">
        <f t="shared" ca="1" si="43"/>
        <v>0.27836365743423341</v>
      </c>
      <c r="Y60" s="1">
        <f t="shared" ref="Y60:AA60" ca="1" si="241">Y33</f>
        <v>8.0289999999999999</v>
      </c>
      <c r="Z60" s="1">
        <f t="shared" ref="Z60:AA60" ca="1" si="242">IF(Y33=0,0,Z33*100/Y33)</f>
        <v>1.1551874455100262</v>
      </c>
      <c r="AA60" s="1">
        <f t="shared" ca="1" si="46"/>
        <v>0.18258811807198905</v>
      </c>
    </row>
    <row r="61" spans="1:27" x14ac:dyDescent="0.3">
      <c r="A61" s="1">
        <v>23</v>
      </c>
      <c r="C61" s="1" t="str">
        <f t="shared" ca="1" si="21"/>
        <v>icx_w_lu8.x</v>
      </c>
      <c r="D61" s="1">
        <f t="shared" ca="1" si="22"/>
        <v>10.43</v>
      </c>
      <c r="E61" s="1">
        <f t="shared" ca="1" si="23"/>
        <v>4.6798657718120804</v>
      </c>
      <c r="F61" s="1">
        <f t="shared" ca="1" si="25"/>
        <v>0.73998082454458292</v>
      </c>
      <c r="G61" s="1">
        <f t="shared" ref="G61:AA61" ca="1" si="243">G34</f>
        <v>10.573</v>
      </c>
      <c r="H61" s="1">
        <f t="shared" ref="H61:AA61" ca="1" si="244">IF(G34=0,0,H34*100/G34)</f>
        <v>7.2357892745672938</v>
      </c>
      <c r="I61" s="1">
        <f t="shared" ca="1" si="28"/>
        <v>1.1440461553012389</v>
      </c>
      <c r="J61" s="1">
        <f t="shared" ref="J61:AA61" ca="1" si="245">J34</f>
        <v>3.8029999999999999</v>
      </c>
      <c r="K61" s="1">
        <f t="shared" ref="K61:AA61" ca="1" si="246">IF(J34=0,0,K34*100/J34)</f>
        <v>5.400210360241914</v>
      </c>
      <c r="L61" s="1">
        <f t="shared" ca="1" si="31"/>
        <v>0.85379963186957664</v>
      </c>
      <c r="M61" s="1">
        <f t="shared" ref="M61:AA61" ca="1" si="247">M34</f>
        <v>3.758</v>
      </c>
      <c r="N61" s="1">
        <f t="shared" ref="N61:AA61" ca="1" si="248">IF(M34=0,0,N34*100/M34)</f>
        <v>6.9888238424693983</v>
      </c>
      <c r="O61" s="1">
        <f t="shared" ca="1" si="34"/>
        <v>1.1051091005854177</v>
      </c>
      <c r="P61" s="1">
        <f t="shared" ref="P61:AA61" ca="1" si="249">P34</f>
        <v>0</v>
      </c>
      <c r="Q61" s="1">
        <f t="shared" ref="Q61:AA61" ca="1" si="250">IF(P34=0,0,Q34*100/P34)</f>
        <v>0</v>
      </c>
      <c r="R61" s="1">
        <f t="shared" ca="1" si="37"/>
        <v>0</v>
      </c>
      <c r="S61" s="1">
        <f t="shared" ref="S61:AA61" ca="1" si="251">S34</f>
        <v>0</v>
      </c>
      <c r="T61" s="1">
        <f t="shared" ref="T61:AA61" ca="1" si="252">IF(S34=0,0,T34*100/S34)</f>
        <v>0</v>
      </c>
      <c r="U61" s="1">
        <f t="shared" ca="1" si="40"/>
        <v>0</v>
      </c>
      <c r="V61" s="1">
        <f t="shared" ref="V61:AA61" ca="1" si="253">V34</f>
        <v>9.1</v>
      </c>
      <c r="W61" s="1">
        <f t="shared" ref="W61:AA61" ca="1" si="254">IF(V34=0,0,W34*100/V34)</f>
        <v>1.8694505494505496</v>
      </c>
      <c r="X61" s="1">
        <f t="shared" ca="1" si="43"/>
        <v>0.29560439560439561</v>
      </c>
      <c r="Y61" s="1">
        <f t="shared" ref="Y61:AA61" ca="1" si="255">Y34</f>
        <v>9.1270000000000007</v>
      </c>
      <c r="Z61" s="1">
        <f t="shared" ref="Z61:AA61" ca="1" si="256">IF(Y34=0,0,Z34*100/Y34)</f>
        <v>1.58014681713597</v>
      </c>
      <c r="AA61" s="1">
        <f t="shared" ca="1" si="46"/>
        <v>0.24980826120302399</v>
      </c>
    </row>
    <row r="62" spans="1:27" x14ac:dyDescent="0.3">
      <c r="A62" s="1">
        <v>24</v>
      </c>
    </row>
    <row r="63" spans="1:27" x14ac:dyDescent="0.3">
      <c r="D63" s="1">
        <v>4</v>
      </c>
      <c r="F63" s="1">
        <v>10</v>
      </c>
      <c r="H63" s="1">
        <v>16</v>
      </c>
      <c r="J63" s="1">
        <v>22</v>
      </c>
      <c r="L63" s="1">
        <v>7</v>
      </c>
      <c r="N63" s="1">
        <f>L63+6</f>
        <v>13</v>
      </c>
      <c r="P63" s="1">
        <f>N63+6</f>
        <v>19</v>
      </c>
      <c r="R63" s="1">
        <f>P63+6</f>
        <v>25</v>
      </c>
    </row>
    <row r="64" spans="1:27" ht="25" thickBot="1" x14ac:dyDescent="0.3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50" customHeight="1" thickBot="1" x14ac:dyDescent="0.35">
      <c r="B65" s="6"/>
      <c r="C65" s="26" t="s">
        <v>140</v>
      </c>
      <c r="D65" s="27" t="str" cm="1">
        <f t="array" aca="1" ref="D65" ca="1">INDIRECT(ADDRESS(ROW(D37),D63))</f>
        <v>AMD Ryzen 7 5800X</v>
      </c>
      <c r="E65" s="28"/>
      <c r="F65" s="28" t="str" cm="1">
        <f t="array" aca="1" ref="F65" ca="1">INDIRECT(ADDRESS(ROW(E37),F63))</f>
        <v>AMD EPYC Turin</v>
      </c>
      <c r="G65" s="28"/>
      <c r="H65" s="28" t="str" cm="1">
        <f t="array" aca="1" ref="H65" ca="1">INDIRECT(ADDRESS(ROW(F37),H63))</f>
        <v>Apple ARM M1 Max</v>
      </c>
      <c r="I65" s="28"/>
      <c r="J65" s="28" t="str" cm="1">
        <f t="array" aca="1" ref="J65" ca="1">INDIRECT(ADDRESS(ROW(G37),J63))</f>
        <v xml:space="preserve">Intel Xeon Platinum </v>
      </c>
      <c r="K65" s="29"/>
      <c r="L65" s="30" t="str" cm="1">
        <f t="array" aca="1" ref="L65" ca="1">INDIRECT(ADDRESS(ROW(H37),L63))</f>
        <v>AMD Ryzen 7 5800X ASE</v>
      </c>
      <c r="M65" s="31"/>
      <c r="N65" s="31" t="str" cm="1">
        <f t="array" aca="1" ref="N65" ca="1">INDIRECT(ADDRESS(ROW(I37),N63))</f>
        <v>AMD EPYC Turin ASE</v>
      </c>
      <c r="O65" s="31"/>
      <c r="P65" s="31" t="str" cm="1">
        <f t="array" aca="1" ref="P65" ca="1">INDIRECT(ADDRESS(ROW(J37),P63))</f>
        <v>Apple ARM M1 Max ASE</v>
      </c>
      <c r="Q65" s="31"/>
      <c r="R65" s="31" t="str" cm="1">
        <f t="array" aca="1" ref="R65" ca="1">INDIRECT(ADDRESS(ROW(K37),R63))</f>
        <v>Intel Xeon Platinum ASE</v>
      </c>
      <c r="S65" s="32"/>
      <c r="T65" s="6"/>
    </row>
    <row r="66" spans="1:20" x14ac:dyDescent="0.3">
      <c r="A66" s="1">
        <v>0</v>
      </c>
      <c r="B66" s="6"/>
      <c r="C66" s="42" t="str">
        <f ca="1">SUBSTITUTE(LEFT(C38,FIND(".",C38)-1),"pp","++")</f>
        <v>gfortran</v>
      </c>
      <c r="D66" s="43" cm="1">
        <f t="array" aca="1" ref="D66" ca="1">INDIRECT(ADDRESS(ROW($D$38)+$A66,D$63))</f>
        <v>10.481</v>
      </c>
      <c r="E66" s="44" t="str" cm="1">
        <f t="array" aca="1" ref="E66" ca="1">"("&amp;TEXT(INDIRECT(ADDRESS(ROW($D$38)+$A66,D$63+2)),"0.0")&amp;"%)"</f>
        <v>(0.9%)</v>
      </c>
      <c r="F66" s="45" cm="1">
        <f t="array" aca="1" ref="F66" ca="1">INDIRECT(ADDRESS(ROW($D$38)+$A66,F$63))</f>
        <v>4.1280000000000001</v>
      </c>
      <c r="G66" s="44" t="str" cm="1">
        <f t="array" aca="1" ref="G66" ca="1">"("&amp;TEXT(INDIRECT(ADDRESS(ROW($D$38)+$A66,F$63+2)),"0.0")&amp;"%)"</f>
        <v>(1.6%)</v>
      </c>
      <c r="H66" s="45" cm="1">
        <f t="array" aca="1" ref="H66" ca="1">INDIRECT(ADDRESS(ROW($D$38)+$A66,H$63))</f>
        <v>7.9809999999999999</v>
      </c>
      <c r="I66" s="44" t="str" cm="1">
        <f t="array" aca="1" ref="I66" ca="1">"("&amp;TEXT(INDIRECT(ADDRESS(ROW($D$38)+$A66,H$63+2)),"0.0")&amp;"%)"</f>
        <v>(1.2%)</v>
      </c>
      <c r="J66" s="45" cm="1">
        <f t="array" aca="1" ref="J66" ca="1">INDIRECT(ADDRESS(ROW($D$38)+$A66,J$63))</f>
        <v>9.6999999999999993</v>
      </c>
      <c r="K66" s="46" t="str" cm="1">
        <f t="array" aca="1" ref="K66" ca="1">"("&amp;TEXT(INDIRECT(ADDRESS(ROW($D$38)+$A66,J$63+2)),"0.0")&amp;"%)"</f>
        <v>(0.2%)</v>
      </c>
      <c r="L66" s="47" cm="1">
        <f t="array" aca="1" ref="L66" ca="1">INDIRECT(ADDRESS(ROW($D$38)+$A66,L$63))</f>
        <v>10.351000000000001</v>
      </c>
      <c r="M66" s="48" t="str" cm="1">
        <f t="array" aca="1" ref="M66" ca="1">"("&amp;TEXT(INDIRECT(ADDRESS(ROW($D$38)+$A66,L$63+2)),"0.0")&amp;"%)"</f>
        <v>(0.7%)</v>
      </c>
      <c r="N66" s="49" cm="1">
        <f t="array" aca="1" ref="N66" ca="1">INDIRECT(ADDRESS(ROW($D$38)+$A66,N$63))</f>
        <v>3.923</v>
      </c>
      <c r="O66" s="48" t="str" cm="1">
        <f t="array" aca="1" ref="O66" ca="1">"("&amp;TEXT(INDIRECT(ADDRESS(ROW($D$38)+$A66,N$63+2)),"0.0")&amp;"%)"</f>
        <v>(0.7%)</v>
      </c>
      <c r="P66" s="49" cm="1">
        <f t="array" aca="1" ref="P66" ca="1">INDIRECT(ADDRESS(ROW($D$38)+$A66,P$63))</f>
        <v>8.2669999999999995</v>
      </c>
      <c r="Q66" s="48" t="str" cm="1">
        <f t="array" aca="1" ref="Q66" ca="1">"("&amp;TEXT(INDIRECT(ADDRESS(ROW($D$38)+$A66,P$63+2)),"0.0")&amp;"%)"</f>
        <v>(1.5%)</v>
      </c>
      <c r="R66" s="49" cm="1">
        <f t="array" aca="1" ref="R66" ca="1">INDIRECT(ADDRESS(ROW($D$38)+$A66,R$63))</f>
        <v>9.8239999999999998</v>
      </c>
      <c r="S66" s="50" t="str" cm="1">
        <f t="array" aca="1" ref="S66" ca="1">"("&amp;TEXT(INDIRECT(ADDRESS(ROW($D$38)+$A66,R$63+2)),"0.0")&amp;"%)"</f>
        <v>(0.1%)</v>
      </c>
      <c r="T66" s="6"/>
    </row>
    <row r="67" spans="1:20" x14ac:dyDescent="0.3">
      <c r="A67" s="1">
        <v>1</v>
      </c>
      <c r="B67" s="6"/>
      <c r="C67" s="24" t="str">
        <f t="shared" ref="C67:C89" ca="1" si="257">SUBSTITUTE(LEFT(C39,FIND(".",C39)-1),"pp","++")</f>
        <v>gfortran_o3</v>
      </c>
      <c r="D67" s="10" cm="1">
        <f t="array" aca="1" ref="D67" ca="1">INDIRECT(ADDRESS(ROW($D$38)+$A67,D$63))</f>
        <v>10.375</v>
      </c>
      <c r="E67" s="9" t="str" cm="1">
        <f t="array" aca="1" ref="E67" ca="1">"("&amp;TEXT(INDIRECT(ADDRESS(ROW($D$38)+$A67,D$63+2)),"0.0")&amp;"%)"</f>
        <v>(1.1%)</v>
      </c>
      <c r="F67" s="8" cm="1">
        <f t="array" aca="1" ref="F67" ca="1">INDIRECT(ADDRESS(ROW($D$38)+$A67,F$63))</f>
        <v>3.7549999999999999</v>
      </c>
      <c r="G67" s="9" t="str" cm="1">
        <f t="array" aca="1" ref="G67" ca="1">"("&amp;TEXT(INDIRECT(ADDRESS(ROW($D$38)+$A67,F$63+2)),"0.0")&amp;"%)"</f>
        <v>(0.8%)</v>
      </c>
      <c r="H67" s="8" cm="1">
        <f t="array" aca="1" ref="H67" ca="1">INDIRECT(ADDRESS(ROW($D$38)+$A67,H$63))</f>
        <v>5.6849999999999996</v>
      </c>
      <c r="I67" s="9" t="str" cm="1">
        <f t="array" aca="1" ref="I67" ca="1">"("&amp;TEXT(INDIRECT(ADDRESS(ROW($D$38)+$A67,H$63+2)),"0.0")&amp;"%)"</f>
        <v>(3.7%)</v>
      </c>
      <c r="J67" s="8" cm="1">
        <f t="array" aca="1" ref="J67" ca="1">INDIRECT(ADDRESS(ROW($D$38)+$A67,J$63))</f>
        <v>8.7129999999999992</v>
      </c>
      <c r="K67" s="11" t="str" cm="1">
        <f t="array" aca="1" ref="K67" ca="1">"("&amp;TEXT(INDIRECT(ADDRESS(ROW($D$38)+$A67,J$63+2)),"0.0")&amp;"%)"</f>
        <v>(0.2%)</v>
      </c>
      <c r="L67" s="16" cm="1">
        <f t="array" aca="1" ref="L67" ca="1">INDIRECT(ADDRESS(ROW($D$38)+$A67,L$63))</f>
        <v>9.9039999999999999</v>
      </c>
      <c r="M67" s="20" t="str" cm="1">
        <f t="array" aca="1" ref="M67" ca="1">"("&amp;TEXT(INDIRECT(ADDRESS(ROW($D$38)+$A67,L$63+2)),"0.0")&amp;"%)"</f>
        <v>(1.0%)</v>
      </c>
      <c r="N67" s="17" cm="1">
        <f t="array" aca="1" ref="N67" ca="1">INDIRECT(ADDRESS(ROW($D$38)+$A67,N$63))</f>
        <v>3.6960000000000002</v>
      </c>
      <c r="O67" s="20" t="str" cm="1">
        <f t="array" aca="1" ref="O67" ca="1">"("&amp;TEXT(INDIRECT(ADDRESS(ROW($D$38)+$A67,N$63+2)),"0.0")&amp;"%)"</f>
        <v>(1.0%)</v>
      </c>
      <c r="P67" s="17" cm="1">
        <f t="array" aca="1" ref="P67" ca="1">INDIRECT(ADDRESS(ROW($D$38)+$A67,P$63))</f>
        <v>6.7009999999999996</v>
      </c>
      <c r="Q67" s="20" t="str" cm="1">
        <f t="array" aca="1" ref="Q67" ca="1">"("&amp;TEXT(INDIRECT(ADDRESS(ROW($D$38)+$A67,P$63+2)),"0.0")&amp;"%)"</f>
        <v>(2.8%)</v>
      </c>
      <c r="R67" s="17" cm="1">
        <f t="array" aca="1" ref="R67" ca="1">INDIRECT(ADDRESS(ROW($D$38)+$A67,R$63))</f>
        <v>8.0730000000000004</v>
      </c>
      <c r="S67" s="22" t="str" cm="1">
        <f t="array" aca="1" ref="S67" ca="1">"("&amp;TEXT(INDIRECT(ADDRESS(ROW($D$38)+$A67,R$63+2)),"0.0")&amp;"%)"</f>
        <v>(0.2%)</v>
      </c>
      <c r="T67" s="6"/>
    </row>
    <row r="68" spans="1:20" x14ac:dyDescent="0.3">
      <c r="A68" s="1">
        <v>2</v>
      </c>
      <c r="B68" s="6"/>
      <c r="C68" s="24" t="str">
        <f t="shared" ca="1" si="257"/>
        <v>gfortran_w_lu2</v>
      </c>
      <c r="D68" s="10" cm="1">
        <f t="array" aca="1" ref="D68" ca="1">INDIRECT(ADDRESS(ROW($D$38)+$A68,D$63))</f>
        <v>10.412000000000001</v>
      </c>
      <c r="E68" s="9" t="str" cm="1">
        <f t="array" aca="1" ref="E68" ca="1">"("&amp;TEXT(INDIRECT(ADDRESS(ROW($D$38)+$A68,D$63+2)),"0.0")&amp;"%)"</f>
        <v>(1.2%)</v>
      </c>
      <c r="F68" s="8" cm="1">
        <f t="array" aca="1" ref="F68" ca="1">INDIRECT(ADDRESS(ROW($D$38)+$A68,F$63))</f>
        <v>3.722</v>
      </c>
      <c r="G68" s="9" t="str" cm="1">
        <f t="array" aca="1" ref="G68" ca="1">"("&amp;TEXT(INDIRECT(ADDRESS(ROW($D$38)+$A68,F$63+2)),"0.0")&amp;"%)"</f>
        <v>(0.9%)</v>
      </c>
      <c r="H68" s="8" cm="1">
        <f t="array" aca="1" ref="H68" ca="1">INDIRECT(ADDRESS(ROW($D$38)+$A68,H$63))</f>
        <v>6.2569999999999997</v>
      </c>
      <c r="I68" s="9" t="str" cm="1">
        <f t="array" aca="1" ref="I68" ca="1">"("&amp;TEXT(INDIRECT(ADDRESS(ROW($D$38)+$A68,H$63+2)),"0.0")&amp;"%)"</f>
        <v>(1.8%)</v>
      </c>
      <c r="J68" s="8" cm="1">
        <f t="array" aca="1" ref="J68" ca="1">INDIRECT(ADDRESS(ROW($D$38)+$A68,J$63))</f>
        <v>8.6809999999999992</v>
      </c>
      <c r="K68" s="11" t="str" cm="1">
        <f t="array" aca="1" ref="K68" ca="1">"("&amp;TEXT(INDIRECT(ADDRESS(ROW($D$38)+$A68,J$63+2)),"0.0")&amp;"%)"</f>
        <v>(0.2%)</v>
      </c>
      <c r="L68" s="16" cm="1">
        <f t="array" aca="1" ref="L68" ca="1">INDIRECT(ADDRESS(ROW($D$38)+$A68,L$63))</f>
        <v>10.52</v>
      </c>
      <c r="M68" s="20" t="str" cm="1">
        <f t="array" aca="1" ref="M68" ca="1">"("&amp;TEXT(INDIRECT(ADDRESS(ROW($D$38)+$A68,L$63+2)),"0.0")&amp;"%)"</f>
        <v>(1.0%)</v>
      </c>
      <c r="N68" s="17" cm="1">
        <f t="array" aca="1" ref="N68" ca="1">INDIRECT(ADDRESS(ROW($D$38)+$A68,N$63))</f>
        <v>3.6659999999999999</v>
      </c>
      <c r="O68" s="20" t="str" cm="1">
        <f t="array" aca="1" ref="O68" ca="1">"("&amp;TEXT(INDIRECT(ADDRESS(ROW($D$38)+$A68,N$63+2)),"0.0")&amp;"%)"</f>
        <v>(0.8%)</v>
      </c>
      <c r="P68" s="17" cm="1">
        <f t="array" aca="1" ref="P68" ca="1">INDIRECT(ADDRESS(ROW($D$38)+$A68,P$63))</f>
        <v>6.4560000000000004</v>
      </c>
      <c r="Q68" s="20" t="str" cm="1">
        <f t="array" aca="1" ref="Q68" ca="1">"("&amp;TEXT(INDIRECT(ADDRESS(ROW($D$38)+$A68,P$63+2)),"0.0")&amp;"%)"</f>
        <v>(2.1%)</v>
      </c>
      <c r="R68" s="17" cm="1">
        <f t="array" aca="1" ref="R68" ca="1">INDIRECT(ADDRESS(ROW($D$38)+$A68,R$63))</f>
        <v>8.5589999999999993</v>
      </c>
      <c r="S68" s="22" t="str" cm="1">
        <f t="array" aca="1" ref="S68" ca="1">"("&amp;TEXT(INDIRECT(ADDRESS(ROW($D$38)+$A68,R$63+2)),"0.0")&amp;"%)"</f>
        <v>(0.2%)</v>
      </c>
      <c r="T68" s="6"/>
    </row>
    <row r="69" spans="1:20" x14ac:dyDescent="0.3">
      <c r="A69" s="1">
        <v>3</v>
      </c>
      <c r="B69" s="6"/>
      <c r="C69" s="24" t="str">
        <f t="shared" ca="1" si="257"/>
        <v>gfortran_w_lu2_o3</v>
      </c>
      <c r="D69" s="10" cm="1">
        <f t="array" aca="1" ref="D69" ca="1">INDIRECT(ADDRESS(ROW($D$38)+$A69,D$63))</f>
        <v>10.654</v>
      </c>
      <c r="E69" s="9" t="str" cm="1">
        <f t="array" aca="1" ref="E69" ca="1">"("&amp;TEXT(INDIRECT(ADDRESS(ROW($D$38)+$A69,D$63+2)),"0.0")&amp;"%)"</f>
        <v>(2.3%)</v>
      </c>
      <c r="F69" s="8" cm="1">
        <f t="array" aca="1" ref="F69" ca="1">INDIRECT(ADDRESS(ROW($D$38)+$A69,F$63))</f>
        <v>3.72</v>
      </c>
      <c r="G69" s="9" t="str" cm="1">
        <f t="array" aca="1" ref="G69" ca="1">"("&amp;TEXT(INDIRECT(ADDRESS(ROW($D$38)+$A69,F$63+2)),"0.0")&amp;"%)"</f>
        <v>(0.5%)</v>
      </c>
      <c r="H69" s="8" cm="1">
        <f t="array" aca="1" ref="H69" ca="1">INDIRECT(ADDRESS(ROW($D$38)+$A69,H$63))</f>
        <v>5.5380000000000003</v>
      </c>
      <c r="I69" s="9" t="str" cm="1">
        <f t="array" aca="1" ref="I69" ca="1">"("&amp;TEXT(INDIRECT(ADDRESS(ROW($D$38)+$A69,H$63+2)),"0.0")&amp;"%)"</f>
        <v>(3.5%)</v>
      </c>
      <c r="J69" s="8" cm="1">
        <f t="array" aca="1" ref="J69" ca="1">INDIRECT(ADDRESS(ROW($D$38)+$A69,J$63))</f>
        <v>8.7029999999999994</v>
      </c>
      <c r="K69" s="11" t="str" cm="1">
        <f t="array" aca="1" ref="K69" ca="1">"("&amp;TEXT(INDIRECT(ADDRESS(ROW($D$38)+$A69,J$63+2)),"0.0")&amp;"%)"</f>
        <v>(0.1%)</v>
      </c>
      <c r="L69" s="16" cm="1">
        <f t="array" aca="1" ref="L69" ca="1">INDIRECT(ADDRESS(ROW($D$38)+$A69,L$63))</f>
        <v>9.9380000000000006</v>
      </c>
      <c r="M69" s="20" t="str" cm="1">
        <f t="array" aca="1" ref="M69" ca="1">"("&amp;TEXT(INDIRECT(ADDRESS(ROW($D$38)+$A69,L$63+2)),"0.0")&amp;"%)"</f>
        <v>(1.1%)</v>
      </c>
      <c r="N69" s="17" cm="1">
        <f t="array" aca="1" ref="N69" ca="1">INDIRECT(ADDRESS(ROW($D$38)+$A69,N$63))</f>
        <v>3.6349999999999998</v>
      </c>
      <c r="O69" s="20" t="str" cm="1">
        <f t="array" aca="1" ref="O69" ca="1">"("&amp;TEXT(INDIRECT(ADDRESS(ROW($D$38)+$A69,N$63+2)),"0.0")&amp;"%)"</f>
        <v>(0.9%)</v>
      </c>
      <c r="P69" s="17" cm="1">
        <f t="array" aca="1" ref="P69" ca="1">INDIRECT(ADDRESS(ROW($D$38)+$A69,P$63))</f>
        <v>6.2210000000000001</v>
      </c>
      <c r="Q69" s="20" t="str" cm="1">
        <f t="array" aca="1" ref="Q69" ca="1">"("&amp;TEXT(INDIRECT(ADDRESS(ROW($D$38)+$A69,P$63+2)),"0.0")&amp;"%)"</f>
        <v>(1.6%)</v>
      </c>
      <c r="R69" s="17" cm="1">
        <f t="array" aca="1" ref="R69" ca="1">INDIRECT(ADDRESS(ROW($D$38)+$A69,R$63))</f>
        <v>8.06</v>
      </c>
      <c r="S69" s="22" t="str" cm="1">
        <f t="array" aca="1" ref="S69" ca="1">"("&amp;TEXT(INDIRECT(ADDRESS(ROW($D$38)+$A69,R$63+2)),"0.0")&amp;"%)"</f>
        <v>(0.3%)</v>
      </c>
      <c r="T69" s="6"/>
    </row>
    <row r="70" spans="1:20" x14ac:dyDescent="0.3">
      <c r="A70" s="1">
        <v>4</v>
      </c>
      <c r="B70" s="6"/>
      <c r="C70" s="24" t="str">
        <f t="shared" ca="1" si="257"/>
        <v>gfortran_w_lu4</v>
      </c>
      <c r="D70" s="10" cm="1">
        <f t="array" aca="1" ref="D70" ca="1">INDIRECT(ADDRESS(ROW($D$38)+$A70,D$63))</f>
        <v>10.273</v>
      </c>
      <c r="E70" s="9" t="str" cm="1">
        <f t="array" aca="1" ref="E70" ca="1">"("&amp;TEXT(INDIRECT(ADDRESS(ROW($D$38)+$A70,D$63+2)),"0.0")&amp;"%)"</f>
        <v>(1.1%)</v>
      </c>
      <c r="F70" s="8" cm="1">
        <f t="array" aca="1" ref="F70" ca="1">INDIRECT(ADDRESS(ROW($D$38)+$A70,F$63))</f>
        <v>3.6779999999999999</v>
      </c>
      <c r="G70" s="9" t="str" cm="1">
        <f t="array" aca="1" ref="G70" ca="1">"("&amp;TEXT(INDIRECT(ADDRESS(ROW($D$38)+$A70,F$63+2)),"0.0")&amp;"%)"</f>
        <v>(0.6%)</v>
      </c>
      <c r="H70" s="8" cm="1">
        <f t="array" aca="1" ref="H70" ca="1">INDIRECT(ADDRESS(ROW($D$38)+$A70,H$63))</f>
        <v>6.1920000000000002</v>
      </c>
      <c r="I70" s="9" t="str" cm="1">
        <f t="array" aca="1" ref="I70" ca="1">"("&amp;TEXT(INDIRECT(ADDRESS(ROW($D$38)+$A70,H$63+2)),"0.0")&amp;"%)"</f>
        <v>(2.3%)</v>
      </c>
      <c r="J70" s="8" cm="1">
        <f t="array" aca="1" ref="J70" ca="1">INDIRECT(ADDRESS(ROW($D$38)+$A70,J$63))</f>
        <v>8.6329999999999991</v>
      </c>
      <c r="K70" s="11" t="str" cm="1">
        <f t="array" aca="1" ref="K70" ca="1">"("&amp;TEXT(INDIRECT(ADDRESS(ROW($D$38)+$A70,J$63+2)),"0.0")&amp;"%)"</f>
        <v>(0.1%)</v>
      </c>
      <c r="L70" s="16" cm="1">
        <f t="array" aca="1" ref="L70" ca="1">INDIRECT(ADDRESS(ROW($D$38)+$A70,L$63))</f>
        <v>10.316000000000001</v>
      </c>
      <c r="M70" s="20" t="str" cm="1">
        <f t="array" aca="1" ref="M70" ca="1">"("&amp;TEXT(INDIRECT(ADDRESS(ROW($D$38)+$A70,L$63+2)),"0.0")&amp;"%)"</f>
        <v>(1.1%)</v>
      </c>
      <c r="N70" s="17" cm="1">
        <f t="array" aca="1" ref="N70" ca="1">INDIRECT(ADDRESS(ROW($D$38)+$A70,N$63))</f>
        <v>3.6779999999999999</v>
      </c>
      <c r="O70" s="20" t="str" cm="1">
        <f t="array" aca="1" ref="O70" ca="1">"("&amp;TEXT(INDIRECT(ADDRESS(ROW($D$38)+$A70,N$63+2)),"0.0")&amp;"%)"</f>
        <v>(0.9%)</v>
      </c>
      <c r="P70" s="17" cm="1">
        <f t="array" aca="1" ref="P70" ca="1">INDIRECT(ADDRESS(ROW($D$38)+$A70,P$63))</f>
        <v>5.2679999999999998</v>
      </c>
      <c r="Q70" s="20" t="str" cm="1">
        <f t="array" aca="1" ref="Q70" ca="1">"("&amp;TEXT(INDIRECT(ADDRESS(ROW($D$38)+$A70,P$63+2)),"0.0")&amp;"%)"</f>
        <v>(2.8%)</v>
      </c>
      <c r="R70" s="17" cm="1">
        <f t="array" aca="1" ref="R70" ca="1">INDIRECT(ADDRESS(ROW($D$38)+$A70,R$63))</f>
        <v>8.0760000000000005</v>
      </c>
      <c r="S70" s="22" t="str" cm="1">
        <f t="array" aca="1" ref="S70" ca="1">"("&amp;TEXT(INDIRECT(ADDRESS(ROW($D$38)+$A70,R$63+2)),"0.0")&amp;"%)"</f>
        <v>(0.1%)</v>
      </c>
      <c r="T70" s="6"/>
    </row>
    <row r="71" spans="1:20" x14ac:dyDescent="0.3">
      <c r="A71" s="1">
        <v>5</v>
      </c>
      <c r="B71" s="6"/>
      <c r="C71" s="24" t="str">
        <f t="shared" ca="1" si="257"/>
        <v>gfortran_w_lu8</v>
      </c>
      <c r="D71" s="10" cm="1">
        <f t="array" aca="1" ref="D71" ca="1">INDIRECT(ADDRESS(ROW($D$38)+$A71,D$63))</f>
        <v>10.395</v>
      </c>
      <c r="E71" s="9" t="str" cm="1">
        <f t="array" aca="1" ref="E71" ca="1">"("&amp;TEXT(INDIRECT(ADDRESS(ROW($D$38)+$A71,D$63+2)),"0.0")&amp;"%)"</f>
        <v>(1.0%)</v>
      </c>
      <c r="F71" s="8" cm="1">
        <f t="array" aca="1" ref="F71" ca="1">INDIRECT(ADDRESS(ROW($D$38)+$A71,F$63))</f>
        <v>3.6960000000000002</v>
      </c>
      <c r="G71" s="9" t="str" cm="1">
        <f t="array" aca="1" ref="G71" ca="1">"("&amp;TEXT(INDIRECT(ADDRESS(ROW($D$38)+$A71,F$63+2)),"0.0")&amp;"%)"</f>
        <v>(1.1%)</v>
      </c>
      <c r="H71" s="8" cm="1">
        <f t="array" aca="1" ref="H71" ca="1">INDIRECT(ADDRESS(ROW($D$38)+$A71,H$63))</f>
        <v>3.548</v>
      </c>
      <c r="I71" s="9" t="str" cm="1">
        <f t="array" aca="1" ref="I71" ca="1">"("&amp;TEXT(INDIRECT(ADDRESS(ROW($D$38)+$A71,H$63+2)),"0.0")&amp;"%)"</f>
        <v>(4.7%)</v>
      </c>
      <c r="J71" s="8" cm="1">
        <f t="array" aca="1" ref="J71" ca="1">INDIRECT(ADDRESS(ROW($D$38)+$A71,J$63))</f>
        <v>8.8190000000000008</v>
      </c>
      <c r="K71" s="11" t="str" cm="1">
        <f t="array" aca="1" ref="K71" ca="1">"("&amp;TEXT(INDIRECT(ADDRESS(ROW($D$38)+$A71,J$63+2)),"0.0")&amp;"%)"</f>
        <v>(0.3%)</v>
      </c>
      <c r="L71" s="16" cm="1">
        <f t="array" aca="1" ref="L71" ca="1">INDIRECT(ADDRESS(ROW($D$38)+$A71,L$63))</f>
        <v>10.108000000000001</v>
      </c>
      <c r="M71" s="20" t="str" cm="1">
        <f t="array" aca="1" ref="M71" ca="1">"("&amp;TEXT(INDIRECT(ADDRESS(ROW($D$38)+$A71,L$63+2)),"0.0")&amp;"%)"</f>
        <v>(0.9%)</v>
      </c>
      <c r="N71" s="17" cm="1">
        <f t="array" aca="1" ref="N71" ca="1">INDIRECT(ADDRESS(ROW($D$38)+$A71,N$63))</f>
        <v>3.669</v>
      </c>
      <c r="O71" s="20" t="str" cm="1">
        <f t="array" aca="1" ref="O71" ca="1">"("&amp;TEXT(INDIRECT(ADDRESS(ROW($D$38)+$A71,N$63+2)),"0.0")&amp;"%)"</f>
        <v>(0.7%)</v>
      </c>
      <c r="P71" s="17" cm="1">
        <f t="array" aca="1" ref="P71" ca="1">INDIRECT(ADDRESS(ROW($D$38)+$A71,P$63))</f>
        <v>5.3730000000000002</v>
      </c>
      <c r="Q71" s="20" t="str" cm="1">
        <f t="array" aca="1" ref="Q71" ca="1">"("&amp;TEXT(INDIRECT(ADDRESS(ROW($D$38)+$A71,P$63+2)),"0.0")&amp;"%)"</f>
        <v>(1.9%)</v>
      </c>
      <c r="R71" s="17" cm="1">
        <f t="array" aca="1" ref="R71" ca="1">INDIRECT(ADDRESS(ROW($D$38)+$A71,R$63))</f>
        <v>8.4640000000000004</v>
      </c>
      <c r="S71" s="22" t="str" cm="1">
        <f t="array" aca="1" ref="S71" ca="1">"("&amp;TEXT(INDIRECT(ADDRESS(ROW($D$38)+$A71,R$63+2)),"0.0")&amp;"%)"</f>
        <v>(0.2%)</v>
      </c>
      <c r="T71" s="6"/>
    </row>
    <row r="72" spans="1:20" x14ac:dyDescent="0.3">
      <c r="A72" s="1">
        <v>6</v>
      </c>
      <c r="B72" s="6"/>
      <c r="C72" s="24" t="str">
        <f t="shared" ca="1" si="257"/>
        <v>ifx</v>
      </c>
      <c r="D72" s="10" cm="1">
        <f t="array" aca="1" ref="D72" ca="1">INDIRECT(ADDRESS(ROW($D$38)+$A72,D$63))</f>
        <v>10.15</v>
      </c>
      <c r="E72" s="9" t="str" cm="1">
        <f t="array" aca="1" ref="E72" ca="1">"("&amp;TEXT(INDIRECT(ADDRESS(ROW($D$38)+$A72,D$63+2)),"0.0")&amp;"%)"</f>
        <v>(2.0%)</v>
      </c>
      <c r="F72" s="8" cm="1">
        <f t="array" aca="1" ref="F72" ca="1">INDIRECT(ADDRESS(ROW($D$38)+$A72,F$63))</f>
        <v>3.7450000000000001</v>
      </c>
      <c r="G72" s="9" t="str" cm="1">
        <f t="array" aca="1" ref="G72" ca="1">"("&amp;TEXT(INDIRECT(ADDRESS(ROW($D$38)+$A72,F$63+2)),"0.0")&amp;"%)"</f>
        <v>(0.7%)</v>
      </c>
      <c r="H72" s="8" cm="1">
        <f t="array" aca="1" ref="H72" ca="1">INDIRECT(ADDRESS(ROW($D$38)+$A72,H$63))</f>
        <v>0</v>
      </c>
      <c r="I72" s="9" t="str" cm="1">
        <f t="array" aca="1" ref="I72" ca="1">"("&amp;TEXT(INDIRECT(ADDRESS(ROW($D$38)+$A72,H$63+2)),"0.0")&amp;"%)"</f>
        <v>(0.0%)</v>
      </c>
      <c r="J72" s="8" cm="1">
        <f t="array" aca="1" ref="J72" ca="1">INDIRECT(ADDRESS(ROW($D$38)+$A72,J$63))</f>
        <v>9.1920000000000002</v>
      </c>
      <c r="K72" s="11" t="str" cm="1">
        <f t="array" aca="1" ref="K72" ca="1">"("&amp;TEXT(INDIRECT(ADDRESS(ROW($D$38)+$A72,J$63+2)),"0.0")&amp;"%)"</f>
        <v>(0.2%)</v>
      </c>
      <c r="L72" s="16" cm="1">
        <f t="array" aca="1" ref="L72" ca="1">INDIRECT(ADDRESS(ROW($D$38)+$A72,L$63))</f>
        <v>9.4250000000000007</v>
      </c>
      <c r="M72" s="20" t="str" cm="1">
        <f t="array" aca="1" ref="M72" ca="1">"("&amp;TEXT(INDIRECT(ADDRESS(ROW($D$38)+$A72,L$63+2)),"0.0")&amp;"%)"</f>
        <v>(2.7%)</v>
      </c>
      <c r="N72" s="17" cm="1">
        <f t="array" aca="1" ref="N72" ca="1">INDIRECT(ADDRESS(ROW($D$38)+$A72,N$63))</f>
        <v>3.661</v>
      </c>
      <c r="O72" s="20" t="str" cm="1">
        <f t="array" aca="1" ref="O72" ca="1">"("&amp;TEXT(INDIRECT(ADDRESS(ROW($D$38)+$A72,N$63+2)),"0.0")&amp;"%)"</f>
        <v>(0.6%)</v>
      </c>
      <c r="P72" s="17" cm="1">
        <f t="array" aca="1" ref="P72" ca="1">INDIRECT(ADDRESS(ROW($D$38)+$A72,P$63))</f>
        <v>0</v>
      </c>
      <c r="Q72" s="20" t="str" cm="1">
        <f t="array" aca="1" ref="Q72" ca="1">"("&amp;TEXT(INDIRECT(ADDRESS(ROW($D$38)+$A72,P$63+2)),"0.0")&amp;"%)"</f>
        <v>(0.0%)</v>
      </c>
      <c r="R72" s="17" cm="1">
        <f t="array" aca="1" ref="R72" ca="1">INDIRECT(ADDRESS(ROW($D$38)+$A72,R$63))</f>
        <v>8.0449999999999999</v>
      </c>
      <c r="S72" s="22" t="str" cm="1">
        <f t="array" aca="1" ref="S72" ca="1">"("&amp;TEXT(INDIRECT(ADDRESS(ROW($D$38)+$A72,R$63+2)),"0.0")&amp;"%)"</f>
        <v>(0.1%)</v>
      </c>
      <c r="T72" s="6"/>
    </row>
    <row r="73" spans="1:20" x14ac:dyDescent="0.3">
      <c r="A73" s="1">
        <v>7</v>
      </c>
      <c r="B73" s="6"/>
      <c r="C73" s="24" t="str">
        <f t="shared" ca="1" si="257"/>
        <v>ifx_o3</v>
      </c>
      <c r="D73" s="10" cm="1">
        <f t="array" aca="1" ref="D73" ca="1">INDIRECT(ADDRESS(ROW($D$38)+$A73,D$63))</f>
        <v>10.625</v>
      </c>
      <c r="E73" s="9" t="str" cm="1">
        <f t="array" aca="1" ref="E73" ca="1">"("&amp;TEXT(INDIRECT(ADDRESS(ROW($D$38)+$A73,D$63+2)),"0.0")&amp;"%)"</f>
        <v>(1.7%)</v>
      </c>
      <c r="F73" s="8" cm="1">
        <f t="array" aca="1" ref="F73" ca="1">INDIRECT(ADDRESS(ROW($D$38)+$A73,F$63))</f>
        <v>3.8679999999999999</v>
      </c>
      <c r="G73" s="9" t="str" cm="1">
        <f t="array" aca="1" ref="G73" ca="1">"("&amp;TEXT(INDIRECT(ADDRESS(ROW($D$38)+$A73,F$63+2)),"0.0")&amp;"%)"</f>
        <v>(0.5%)</v>
      </c>
      <c r="H73" s="8" cm="1">
        <f t="array" aca="1" ref="H73" ca="1">INDIRECT(ADDRESS(ROW($D$38)+$A73,H$63))</f>
        <v>0</v>
      </c>
      <c r="I73" s="9" t="str" cm="1">
        <f t="array" aca="1" ref="I73" ca="1">"("&amp;TEXT(INDIRECT(ADDRESS(ROW($D$38)+$A73,H$63+2)),"0.0")&amp;"%)"</f>
        <v>(0.0%)</v>
      </c>
      <c r="J73" s="8" cm="1">
        <f t="array" aca="1" ref="J73" ca="1">INDIRECT(ADDRESS(ROW($D$38)+$A73,J$63))</f>
        <v>9.6440000000000001</v>
      </c>
      <c r="K73" s="11" t="str" cm="1">
        <f t="array" aca="1" ref="K73" ca="1">"("&amp;TEXT(INDIRECT(ADDRESS(ROW($D$38)+$A73,J$63+2)),"0.0")&amp;"%)"</f>
        <v>(0.2%)</v>
      </c>
      <c r="L73" s="16" cm="1">
        <f t="array" aca="1" ref="L73" ca="1">INDIRECT(ADDRESS(ROW($D$38)+$A73,L$63))</f>
        <v>9.25</v>
      </c>
      <c r="M73" s="20" t="str" cm="1">
        <f t="array" aca="1" ref="M73" ca="1">"("&amp;TEXT(INDIRECT(ADDRESS(ROW($D$38)+$A73,L$63+2)),"0.0")&amp;"%)"</f>
        <v>(2.1%)</v>
      </c>
      <c r="N73" s="17" cm="1">
        <f t="array" aca="1" ref="N73" ca="1">INDIRECT(ADDRESS(ROW($D$38)+$A73,N$63))</f>
        <v>3.7410000000000001</v>
      </c>
      <c r="O73" s="20" t="str" cm="1">
        <f t="array" aca="1" ref="O73" ca="1">"("&amp;TEXT(INDIRECT(ADDRESS(ROW($D$38)+$A73,N$63+2)),"0.0")&amp;"%)"</f>
        <v>(0.9%)</v>
      </c>
      <c r="P73" s="17" cm="1">
        <f t="array" aca="1" ref="P73" ca="1">INDIRECT(ADDRESS(ROW($D$38)+$A73,P$63))</f>
        <v>0</v>
      </c>
      <c r="Q73" s="20" t="str" cm="1">
        <f t="array" aca="1" ref="Q73" ca="1">"("&amp;TEXT(INDIRECT(ADDRESS(ROW($D$38)+$A73,P$63+2)),"0.0")&amp;"%)"</f>
        <v>(0.0%)</v>
      </c>
      <c r="R73" s="17" cm="1">
        <f t="array" aca="1" ref="R73" ca="1">INDIRECT(ADDRESS(ROW($D$38)+$A73,R$63))</f>
        <v>8.0269999999999992</v>
      </c>
      <c r="S73" s="22" t="str" cm="1">
        <f t="array" aca="1" ref="S73" ca="1">"("&amp;TEXT(INDIRECT(ADDRESS(ROW($D$38)+$A73,R$63+2)),"0.0")&amp;"%)"</f>
        <v>(0.3%)</v>
      </c>
      <c r="T73" s="6"/>
    </row>
    <row r="74" spans="1:20" x14ac:dyDescent="0.3">
      <c r="A74" s="1">
        <v>8</v>
      </c>
      <c r="B74" s="6"/>
      <c r="C74" s="24" t="str">
        <f t="shared" ca="1" si="257"/>
        <v>ifx_w_lu2</v>
      </c>
      <c r="D74" s="10" cm="1">
        <f t="array" aca="1" ref="D74" ca="1">INDIRECT(ADDRESS(ROW($D$38)+$A74,D$63))</f>
        <v>10.15</v>
      </c>
      <c r="E74" s="9" t="str" cm="1">
        <f t="array" aca="1" ref="E74" ca="1">"("&amp;TEXT(INDIRECT(ADDRESS(ROW($D$38)+$A74,D$63+2)),"0.0")&amp;"%)"</f>
        <v>(1.2%)</v>
      </c>
      <c r="F74" s="8" cm="1">
        <f t="array" aca="1" ref="F74" ca="1">INDIRECT(ADDRESS(ROW($D$38)+$A74,F$63))</f>
        <v>3.7730000000000001</v>
      </c>
      <c r="G74" s="9" t="str" cm="1">
        <f t="array" aca="1" ref="G74" ca="1">"("&amp;TEXT(INDIRECT(ADDRESS(ROW($D$38)+$A74,F$63+2)),"0.0")&amp;"%)"</f>
        <v>(0.9%)</v>
      </c>
      <c r="H74" s="8" cm="1">
        <f t="array" aca="1" ref="H74" ca="1">INDIRECT(ADDRESS(ROW($D$38)+$A74,H$63))</f>
        <v>0</v>
      </c>
      <c r="I74" s="9" t="str" cm="1">
        <f t="array" aca="1" ref="I74" ca="1">"("&amp;TEXT(INDIRECT(ADDRESS(ROW($D$38)+$A74,H$63+2)),"0.0")&amp;"%)"</f>
        <v>(0.0%)</v>
      </c>
      <c r="J74" s="8" cm="1">
        <f t="array" aca="1" ref="J74" ca="1">INDIRECT(ADDRESS(ROW($D$38)+$A74,J$63))</f>
        <v>9.1690000000000005</v>
      </c>
      <c r="K74" s="11" t="str" cm="1">
        <f t="array" aca="1" ref="K74" ca="1">"("&amp;TEXT(INDIRECT(ADDRESS(ROW($D$38)+$A74,J$63+2)),"0.0")&amp;"%)"</f>
        <v>(0.2%)</v>
      </c>
      <c r="L74" s="16" cm="1">
        <f t="array" aca="1" ref="L74" ca="1">INDIRECT(ADDRESS(ROW($D$38)+$A74,L$63))</f>
        <v>9.6</v>
      </c>
      <c r="M74" s="20" t="str" cm="1">
        <f t="array" aca="1" ref="M74" ca="1">"("&amp;TEXT(INDIRECT(ADDRESS(ROW($D$38)+$A74,L$63+2)),"0.0")&amp;"%)"</f>
        <v>(2.1%)</v>
      </c>
      <c r="N74" s="17" cm="1">
        <f t="array" aca="1" ref="N74" ca="1">INDIRECT(ADDRESS(ROW($D$38)+$A74,N$63))</f>
        <v>3.653</v>
      </c>
      <c r="O74" s="20" t="str" cm="1">
        <f t="array" aca="1" ref="O74" ca="1">"("&amp;TEXT(INDIRECT(ADDRESS(ROW($D$38)+$A74,N$63+2)),"0.0")&amp;"%)"</f>
        <v>(0.6%)</v>
      </c>
      <c r="P74" s="17" cm="1">
        <f t="array" aca="1" ref="P74" ca="1">INDIRECT(ADDRESS(ROW($D$38)+$A74,P$63))</f>
        <v>0</v>
      </c>
      <c r="Q74" s="20" t="str" cm="1">
        <f t="array" aca="1" ref="Q74" ca="1">"("&amp;TEXT(INDIRECT(ADDRESS(ROW($D$38)+$A74,P$63+2)),"0.0")&amp;"%)"</f>
        <v>(0.0%)</v>
      </c>
      <c r="R74" s="17" cm="1">
        <f t="array" aca="1" ref="R74" ca="1">INDIRECT(ADDRESS(ROW($D$38)+$A74,R$63))</f>
        <v>8.0609999999999999</v>
      </c>
      <c r="S74" s="22" t="str" cm="1">
        <f t="array" aca="1" ref="S74" ca="1">"("&amp;TEXT(INDIRECT(ADDRESS(ROW($D$38)+$A74,R$63+2)),"0.0")&amp;"%)"</f>
        <v>(0.2%)</v>
      </c>
      <c r="T74" s="6"/>
    </row>
    <row r="75" spans="1:20" x14ac:dyDescent="0.3">
      <c r="A75" s="1">
        <v>9</v>
      </c>
      <c r="B75" s="6"/>
      <c r="C75" s="24" t="str">
        <f t="shared" ca="1" si="257"/>
        <v>ifx_w_lu2_o3</v>
      </c>
      <c r="D75" s="10" cm="1">
        <f t="array" aca="1" ref="D75" ca="1">INDIRECT(ADDRESS(ROW($D$38)+$A75,D$63))</f>
        <v>10.074999999999999</v>
      </c>
      <c r="E75" s="9" t="str" cm="1">
        <f t="array" aca="1" ref="E75" ca="1">"("&amp;TEXT(INDIRECT(ADDRESS(ROW($D$38)+$A75,D$63+2)),"0.0")&amp;"%)"</f>
        <v>(1.3%)</v>
      </c>
      <c r="F75" s="8" cm="1">
        <f t="array" aca="1" ref="F75" ca="1">INDIRECT(ADDRESS(ROW($D$38)+$A75,F$63))</f>
        <v>3.694</v>
      </c>
      <c r="G75" s="9" t="str" cm="1">
        <f t="array" aca="1" ref="G75" ca="1">"("&amp;TEXT(INDIRECT(ADDRESS(ROW($D$38)+$A75,F$63+2)),"0.0")&amp;"%)"</f>
        <v>(0.5%)</v>
      </c>
      <c r="H75" s="8" cm="1">
        <f t="array" aca="1" ref="H75" ca="1">INDIRECT(ADDRESS(ROW($D$38)+$A75,H$63))</f>
        <v>0</v>
      </c>
      <c r="I75" s="9" t="str" cm="1">
        <f t="array" aca="1" ref="I75" ca="1">"("&amp;TEXT(INDIRECT(ADDRESS(ROW($D$38)+$A75,H$63+2)),"0.0")&amp;"%)"</f>
        <v>(0.0%)</v>
      </c>
      <c r="J75" s="8" cm="1">
        <f t="array" aca="1" ref="J75" ca="1">INDIRECT(ADDRESS(ROW($D$38)+$A75,J$63))</f>
        <v>9.4920000000000009</v>
      </c>
      <c r="K75" s="11" t="str" cm="1">
        <f t="array" aca="1" ref="K75" ca="1">"("&amp;TEXT(INDIRECT(ADDRESS(ROW($D$38)+$A75,J$63+2)),"0.0")&amp;"%)"</f>
        <v>(0.3%)</v>
      </c>
      <c r="L75" s="16" cm="1">
        <f t="array" aca="1" ref="L75" ca="1">INDIRECT(ADDRESS(ROW($D$38)+$A75,L$63))</f>
        <v>9.5749999999999993</v>
      </c>
      <c r="M75" s="20" t="str" cm="1">
        <f t="array" aca="1" ref="M75" ca="1">"("&amp;TEXT(INDIRECT(ADDRESS(ROW($D$38)+$A75,L$63+2)),"0.0")&amp;"%)"</f>
        <v>(1.5%)</v>
      </c>
      <c r="N75" s="17" cm="1">
        <f t="array" aca="1" ref="N75" ca="1">INDIRECT(ADDRESS(ROW($D$38)+$A75,N$63))</f>
        <v>3.6259999999999999</v>
      </c>
      <c r="O75" s="20" t="str" cm="1">
        <f t="array" aca="1" ref="O75" ca="1">"("&amp;TEXT(INDIRECT(ADDRESS(ROW($D$38)+$A75,N$63+2)),"0.0")&amp;"%)"</f>
        <v>(0.8%)</v>
      </c>
      <c r="P75" s="17" cm="1">
        <f t="array" aca="1" ref="P75" ca="1">INDIRECT(ADDRESS(ROW($D$38)+$A75,P$63))</f>
        <v>0</v>
      </c>
      <c r="Q75" s="20" t="str" cm="1">
        <f t="array" aca="1" ref="Q75" ca="1">"("&amp;TEXT(INDIRECT(ADDRESS(ROW($D$38)+$A75,P$63+2)),"0.0")&amp;"%)"</f>
        <v>(0.0%)</v>
      </c>
      <c r="R75" s="17" cm="1">
        <f t="array" aca="1" ref="R75" ca="1">INDIRECT(ADDRESS(ROW($D$38)+$A75,R$63))</f>
        <v>8.0410000000000004</v>
      </c>
      <c r="S75" s="22" t="str" cm="1">
        <f t="array" aca="1" ref="S75" ca="1">"("&amp;TEXT(INDIRECT(ADDRESS(ROW($D$38)+$A75,R$63+2)),"0.0")&amp;"%)"</f>
        <v>(0.2%)</v>
      </c>
      <c r="T75" s="6"/>
    </row>
    <row r="76" spans="1:20" x14ac:dyDescent="0.3">
      <c r="A76" s="1">
        <v>10</v>
      </c>
      <c r="B76" s="6"/>
      <c r="C76" s="24" t="str">
        <f t="shared" ca="1" si="257"/>
        <v>ifx_w_lu4</v>
      </c>
      <c r="D76" s="10" cm="1">
        <f t="array" aca="1" ref="D76" ca="1">INDIRECT(ADDRESS(ROW($D$38)+$A76,D$63))</f>
        <v>10.050000000000001</v>
      </c>
      <c r="E76" s="9" t="str" cm="1">
        <f t="array" aca="1" ref="E76" ca="1">"("&amp;TEXT(INDIRECT(ADDRESS(ROW($D$38)+$A76,D$63+2)),"0.0")&amp;"%)"</f>
        <v>(1.7%)</v>
      </c>
      <c r="F76" s="8" cm="1">
        <f t="array" aca="1" ref="F76" ca="1">INDIRECT(ADDRESS(ROW($D$38)+$A76,F$63))</f>
        <v>3.6920000000000002</v>
      </c>
      <c r="G76" s="9" t="str" cm="1">
        <f t="array" aca="1" ref="G76" ca="1">"("&amp;TEXT(INDIRECT(ADDRESS(ROW($D$38)+$A76,F$63+2)),"0.0")&amp;"%)"</f>
        <v>(0.8%)</v>
      </c>
      <c r="H76" s="8" cm="1">
        <f t="array" aca="1" ref="H76" ca="1">INDIRECT(ADDRESS(ROW($D$38)+$A76,H$63))</f>
        <v>0</v>
      </c>
      <c r="I76" s="9" t="str" cm="1">
        <f t="array" aca="1" ref="I76" ca="1">"("&amp;TEXT(INDIRECT(ADDRESS(ROW($D$38)+$A76,H$63+2)),"0.0")&amp;"%)"</f>
        <v>(0.0%)</v>
      </c>
      <c r="J76" s="8" cm="1">
        <f t="array" aca="1" ref="J76" ca="1">INDIRECT(ADDRESS(ROW($D$38)+$A76,J$63))</f>
        <v>9.17</v>
      </c>
      <c r="K76" s="11" t="str" cm="1">
        <f t="array" aca="1" ref="K76" ca="1">"("&amp;TEXT(INDIRECT(ADDRESS(ROW($D$38)+$A76,J$63+2)),"0.0")&amp;"%)"</f>
        <v>(0.3%)</v>
      </c>
      <c r="L76" s="16" cm="1">
        <f t="array" aca="1" ref="L76" ca="1">INDIRECT(ADDRESS(ROW($D$38)+$A76,L$63))</f>
        <v>9.5500000000000007</v>
      </c>
      <c r="M76" s="20" t="str" cm="1">
        <f t="array" aca="1" ref="M76" ca="1">"("&amp;TEXT(INDIRECT(ADDRESS(ROW($D$38)+$A76,L$63+2)),"0.0")&amp;"%)"</f>
        <v>(2.4%)</v>
      </c>
      <c r="N76" s="17" cm="1">
        <f t="array" aca="1" ref="N76" ca="1">INDIRECT(ADDRESS(ROW($D$38)+$A76,N$63))</f>
        <v>3.734</v>
      </c>
      <c r="O76" s="20" t="str" cm="1">
        <f t="array" aca="1" ref="O76" ca="1">"("&amp;TEXT(INDIRECT(ADDRESS(ROW($D$38)+$A76,N$63+2)),"0.0")&amp;"%)"</f>
        <v>(0.8%)</v>
      </c>
      <c r="P76" s="17" cm="1">
        <f t="array" aca="1" ref="P76" ca="1">INDIRECT(ADDRESS(ROW($D$38)+$A76,P$63))</f>
        <v>0</v>
      </c>
      <c r="Q76" s="20" t="str" cm="1">
        <f t="array" aca="1" ref="Q76" ca="1">"("&amp;TEXT(INDIRECT(ADDRESS(ROW($D$38)+$A76,P$63+2)),"0.0")&amp;"%)"</f>
        <v>(0.0%)</v>
      </c>
      <c r="R76" s="17" cm="1">
        <f t="array" aca="1" ref="R76" ca="1">INDIRECT(ADDRESS(ROW($D$38)+$A76,R$63))</f>
        <v>8.06</v>
      </c>
      <c r="S76" s="22" t="str" cm="1">
        <f t="array" aca="1" ref="S76" ca="1">"("&amp;TEXT(INDIRECT(ADDRESS(ROW($D$38)+$A76,R$63+2)),"0.0")&amp;"%)"</f>
        <v>(0.2%)</v>
      </c>
      <c r="T76" s="6"/>
    </row>
    <row r="77" spans="1:20" ht="25" thickBot="1" x14ac:dyDescent="0.35">
      <c r="A77" s="1">
        <v>11</v>
      </c>
      <c r="B77" s="6"/>
      <c r="C77" s="25" t="str">
        <f t="shared" ca="1" si="257"/>
        <v>ifx_w_lu8</v>
      </c>
      <c r="D77" s="12" cm="1">
        <f t="array" aca="1" ref="D77" ca="1">INDIRECT(ADDRESS(ROW($D$38)+$A77,D$63))</f>
        <v>10.025</v>
      </c>
      <c r="E77" s="13" t="str" cm="1">
        <f t="array" aca="1" ref="E77" ca="1">"("&amp;TEXT(INDIRECT(ADDRESS(ROW($D$38)+$A77,D$63+2)),"0.0")&amp;"%)"</f>
        <v>(1.4%)</v>
      </c>
      <c r="F77" s="14" cm="1">
        <f t="array" aca="1" ref="F77" ca="1">INDIRECT(ADDRESS(ROW($D$38)+$A77,F$63))</f>
        <v>3.7490000000000001</v>
      </c>
      <c r="G77" s="13" t="str" cm="1">
        <f t="array" aca="1" ref="G77" ca="1">"("&amp;TEXT(INDIRECT(ADDRESS(ROW($D$38)+$A77,F$63+2)),"0.0")&amp;"%)"</f>
        <v>(0.9%)</v>
      </c>
      <c r="H77" s="14" cm="1">
        <f t="array" aca="1" ref="H77" ca="1">INDIRECT(ADDRESS(ROW($D$38)+$A77,H$63))</f>
        <v>0</v>
      </c>
      <c r="I77" s="13" t="str" cm="1">
        <f t="array" aca="1" ref="I77" ca="1">"("&amp;TEXT(INDIRECT(ADDRESS(ROW($D$38)+$A77,H$63+2)),"0.0")&amp;"%)"</f>
        <v>(0.0%)</v>
      </c>
      <c r="J77" s="14" cm="1">
        <f t="array" aca="1" ref="J77" ca="1">INDIRECT(ADDRESS(ROW($D$38)+$A77,J$63))</f>
        <v>9.1379999999999999</v>
      </c>
      <c r="K77" s="15" t="str" cm="1">
        <f t="array" aca="1" ref="K77" ca="1">"("&amp;TEXT(INDIRECT(ADDRESS(ROW($D$38)+$A77,J$63+2)),"0.0")&amp;"%)"</f>
        <v>(0.4%)</v>
      </c>
      <c r="L77" s="18" cm="1">
        <f t="array" aca="1" ref="L77" ca="1">INDIRECT(ADDRESS(ROW($D$38)+$A77,L$63))</f>
        <v>10.125</v>
      </c>
      <c r="M77" s="21" t="str" cm="1">
        <f t="array" aca="1" ref="M77" ca="1">"("&amp;TEXT(INDIRECT(ADDRESS(ROW($D$38)+$A77,L$63+2)),"0.0")&amp;"%)"</f>
        <v>(1.7%)</v>
      </c>
      <c r="N77" s="19" cm="1">
        <f t="array" aca="1" ref="N77" ca="1">INDIRECT(ADDRESS(ROW($D$38)+$A77,N$63))</f>
        <v>8.8040000000000003</v>
      </c>
      <c r="O77" s="21" t="str" cm="1">
        <f t="array" aca="1" ref="O77" ca="1">"("&amp;TEXT(INDIRECT(ADDRESS(ROW($D$38)+$A77,N$63+2)),"0.0")&amp;"%)"</f>
        <v>(0.3%)</v>
      </c>
      <c r="P77" s="19" cm="1">
        <f t="array" aca="1" ref="P77" ca="1">INDIRECT(ADDRESS(ROW($D$38)+$A77,P$63))</f>
        <v>0</v>
      </c>
      <c r="Q77" s="21" t="str" cm="1">
        <f t="array" aca="1" ref="Q77" ca="1">"("&amp;TEXT(INDIRECT(ADDRESS(ROW($D$38)+$A77,P$63+2)),"0.0")&amp;"%)"</f>
        <v>(0.0%)</v>
      </c>
      <c r="R77" s="19" cm="1">
        <f t="array" aca="1" ref="R77" ca="1">INDIRECT(ADDRESS(ROW($D$38)+$A77,R$63))</f>
        <v>9.1620000000000008</v>
      </c>
      <c r="S77" s="23" t="str" cm="1">
        <f t="array" aca="1" ref="S77" ca="1">"("&amp;TEXT(INDIRECT(ADDRESS(ROW($D$38)+$A77,R$63+2)),"0.0")&amp;"%)"</f>
        <v>(0.2%)</v>
      </c>
      <c r="T77" s="6"/>
    </row>
    <row r="78" spans="1:20" x14ac:dyDescent="0.3">
      <c r="A78" s="1">
        <v>12</v>
      </c>
      <c r="B78" s="6"/>
      <c r="C78" s="33" t="str">
        <f t="shared" ca="1" si="257"/>
        <v>g++</v>
      </c>
      <c r="D78" s="34" cm="1">
        <f t="array" aca="1" ref="D78" ca="1">INDIRECT(ADDRESS(ROW($D$38)+$A78,D$63))</f>
        <v>10.525</v>
      </c>
      <c r="E78" s="35" t="str" cm="1">
        <f t="array" aca="1" ref="E78" ca="1">"("&amp;TEXT(INDIRECT(ADDRESS(ROW($D$38)+$A78,D$63+2)),"0.0")&amp;"%)"</f>
        <v>(0.6%)</v>
      </c>
      <c r="F78" s="36" cm="1">
        <f t="array" aca="1" ref="F78" ca="1">INDIRECT(ADDRESS(ROW($D$38)+$A78,F$63))</f>
        <v>3.9249999999999998</v>
      </c>
      <c r="G78" s="35" t="str" cm="1">
        <f t="array" aca="1" ref="G78" ca="1">"("&amp;TEXT(INDIRECT(ADDRESS(ROW($D$38)+$A78,F$63+2)),"0.0")&amp;"%)"</f>
        <v>(0.7%)</v>
      </c>
      <c r="H78" s="36" cm="1">
        <f t="array" aca="1" ref="H78" ca="1">INDIRECT(ADDRESS(ROW($D$38)+$A78,H$63))</f>
        <v>8.2370000000000001</v>
      </c>
      <c r="I78" s="35" t="str" cm="1">
        <f t="array" aca="1" ref="I78" ca="1">"("&amp;TEXT(INDIRECT(ADDRESS(ROW($D$38)+$A78,H$63+2)),"0.0")&amp;"%)"</f>
        <v>(5.3%)</v>
      </c>
      <c r="J78" s="36" cm="1">
        <f t="array" aca="1" ref="J78" ca="1">INDIRECT(ADDRESS(ROW($D$38)+$A78,J$63))</f>
        <v>9.609</v>
      </c>
      <c r="K78" s="37" t="str" cm="1">
        <f t="array" aca="1" ref="K78" ca="1">"("&amp;TEXT(INDIRECT(ADDRESS(ROW($D$38)+$A78,J$63+2)),"0.0")&amp;"%)"</f>
        <v>(0.1%)</v>
      </c>
      <c r="L78" s="38" cm="1">
        <f t="array" aca="1" ref="L78" ca="1">INDIRECT(ADDRESS(ROW($D$38)+$A78,L$63))</f>
        <v>10.512</v>
      </c>
      <c r="M78" s="39" t="str" cm="1">
        <f t="array" aca="1" ref="M78" ca="1">"("&amp;TEXT(INDIRECT(ADDRESS(ROW($D$38)+$A78,L$63+2)),"0.0")&amp;"%)"</f>
        <v>(1.4%)</v>
      </c>
      <c r="N78" s="40" cm="1">
        <f t="array" aca="1" ref="N78" ca="1">INDIRECT(ADDRESS(ROW($D$38)+$A78,N$63))</f>
        <v>3.8889999999999998</v>
      </c>
      <c r="O78" s="39" t="str" cm="1">
        <f t="array" aca="1" ref="O78" ca="1">"("&amp;TEXT(INDIRECT(ADDRESS(ROW($D$38)+$A78,N$63+2)),"0.0")&amp;"%)"</f>
        <v>(0.7%)</v>
      </c>
      <c r="P78" s="40" cm="1">
        <f t="array" aca="1" ref="P78" ca="1">INDIRECT(ADDRESS(ROW($D$38)+$A78,P$63))</f>
        <v>5.91</v>
      </c>
      <c r="Q78" s="39" t="str" cm="1">
        <f t="array" aca="1" ref="Q78" ca="1">"("&amp;TEXT(INDIRECT(ADDRESS(ROW($D$38)+$A78,P$63+2)),"0.0")&amp;"%)"</f>
        <v>(5.9%)</v>
      </c>
      <c r="R78" s="40" cm="1">
        <f t="array" aca="1" ref="R78" ca="1">INDIRECT(ADDRESS(ROW($D$38)+$A78,R$63))</f>
        <v>9.66</v>
      </c>
      <c r="S78" s="41" t="str" cm="1">
        <f t="array" aca="1" ref="S78" ca="1">"("&amp;TEXT(INDIRECT(ADDRESS(ROW($D$38)+$A78,R$63+2)),"0.0")&amp;"%)"</f>
        <v>(0.2%)</v>
      </c>
      <c r="T78" s="6"/>
    </row>
    <row r="79" spans="1:20" x14ac:dyDescent="0.3">
      <c r="A79" s="1">
        <v>13</v>
      </c>
      <c r="B79" s="6"/>
      <c r="C79" s="24" t="str">
        <f t="shared" ca="1" si="257"/>
        <v>g++_o3</v>
      </c>
      <c r="D79" s="10" cm="1">
        <f t="array" aca="1" ref="D79" ca="1">INDIRECT(ADDRESS(ROW($D$38)+$A79,D$63))</f>
        <v>10.054</v>
      </c>
      <c r="E79" s="9" t="str" cm="1">
        <f t="array" aca="1" ref="E79" ca="1">"("&amp;TEXT(INDIRECT(ADDRESS(ROW($D$38)+$A79,D$63+2)),"0.0")&amp;"%)"</f>
        <v>(0.8%)</v>
      </c>
      <c r="F79" s="8" cm="1">
        <f t="array" aca="1" ref="F79" ca="1">INDIRECT(ADDRESS(ROW($D$38)+$A79,F$63))</f>
        <v>3.7170000000000001</v>
      </c>
      <c r="G79" s="9" t="str" cm="1">
        <f t="array" aca="1" ref="G79" ca="1">"("&amp;TEXT(INDIRECT(ADDRESS(ROW($D$38)+$A79,F$63+2)),"0.0")&amp;"%)"</f>
        <v>(0.9%)</v>
      </c>
      <c r="H79" s="8" cm="1">
        <f t="array" aca="1" ref="H79" ca="1">INDIRECT(ADDRESS(ROW($D$38)+$A79,H$63))</f>
        <v>6.3570000000000002</v>
      </c>
      <c r="I79" s="9" t="str" cm="1">
        <f t="array" aca="1" ref="I79" ca="1">"("&amp;TEXT(INDIRECT(ADDRESS(ROW($D$38)+$A79,H$63+2)),"0.0")&amp;"%)"</f>
        <v>(2.5%)</v>
      </c>
      <c r="J79" s="8" cm="1">
        <f t="array" aca="1" ref="J79" ca="1">INDIRECT(ADDRESS(ROW($D$38)+$A79,J$63))</f>
        <v>8.6110000000000007</v>
      </c>
      <c r="K79" s="11" t="str" cm="1">
        <f t="array" aca="1" ref="K79" ca="1">"("&amp;TEXT(INDIRECT(ADDRESS(ROW($D$38)+$A79,J$63+2)),"0.0")&amp;"%)"</f>
        <v>(0.3%)</v>
      </c>
      <c r="L79" s="16" cm="1">
        <f t="array" aca="1" ref="L79" ca="1">INDIRECT(ADDRESS(ROW($D$38)+$A79,L$63))</f>
        <v>9.6969999999999992</v>
      </c>
      <c r="M79" s="20" t="str" cm="1">
        <f t="array" aca="1" ref="M79" ca="1">"("&amp;TEXT(INDIRECT(ADDRESS(ROW($D$38)+$A79,L$63+2)),"0.0")&amp;"%)"</f>
        <v>(0.7%)</v>
      </c>
      <c r="N79" s="17" cm="1">
        <f t="array" aca="1" ref="N79" ca="1">INDIRECT(ADDRESS(ROW($D$38)+$A79,N$63))</f>
        <v>3.6619999999999999</v>
      </c>
      <c r="O79" s="20" t="str" cm="1">
        <f t="array" aca="1" ref="O79" ca="1">"("&amp;TEXT(INDIRECT(ADDRESS(ROW($D$38)+$A79,N$63+2)),"0.0")&amp;"%)"</f>
        <v>(0.6%)</v>
      </c>
      <c r="P79" s="17" cm="1">
        <f t="array" aca="1" ref="P79" ca="1">INDIRECT(ADDRESS(ROW($D$38)+$A79,P$63))</f>
        <v>5.9080000000000004</v>
      </c>
      <c r="Q79" s="20" t="str" cm="1">
        <f t="array" aca="1" ref="Q79" ca="1">"("&amp;TEXT(INDIRECT(ADDRESS(ROW($D$38)+$A79,P$63+2)),"0.0")&amp;"%)"</f>
        <v>(2.8%)</v>
      </c>
      <c r="R79" s="17" cm="1">
        <f t="array" aca="1" ref="R79" ca="1">INDIRECT(ADDRESS(ROW($D$38)+$A79,R$63))</f>
        <v>7.9960000000000004</v>
      </c>
      <c r="S79" s="22" t="str" cm="1">
        <f t="array" aca="1" ref="S79" ca="1">"("&amp;TEXT(INDIRECT(ADDRESS(ROW($D$38)+$A79,R$63+2)),"0.0")&amp;"%)"</f>
        <v>(0.2%)</v>
      </c>
      <c r="T79" s="6"/>
    </row>
    <row r="80" spans="1:20" x14ac:dyDescent="0.3">
      <c r="A80" s="1">
        <v>14</v>
      </c>
      <c r="B80" s="6"/>
      <c r="C80" s="24" t="str">
        <f t="shared" ca="1" si="257"/>
        <v>g++_w_lu2</v>
      </c>
      <c r="D80" s="10" cm="1">
        <f t="array" aca="1" ref="D80" ca="1">INDIRECT(ADDRESS(ROW($D$38)+$A80,D$63))</f>
        <v>10.502000000000001</v>
      </c>
      <c r="E80" s="9" t="str" cm="1">
        <f t="array" aca="1" ref="E80" ca="1">"("&amp;TEXT(INDIRECT(ADDRESS(ROW($D$38)+$A80,D$63+2)),"0.0")&amp;"%)"</f>
        <v>(1.0%)</v>
      </c>
      <c r="F80" s="8" cm="1">
        <f t="array" aca="1" ref="F80" ca="1">INDIRECT(ADDRESS(ROW($D$38)+$A80,F$63))</f>
        <v>4.0090000000000003</v>
      </c>
      <c r="G80" s="9" t="str" cm="1">
        <f t="array" aca="1" ref="G80" ca="1">"("&amp;TEXT(INDIRECT(ADDRESS(ROW($D$38)+$A80,F$63+2)),"0.0")&amp;"%)"</f>
        <v>(0.7%)</v>
      </c>
      <c r="H80" s="8" cm="1">
        <f t="array" aca="1" ref="H80" ca="1">INDIRECT(ADDRESS(ROW($D$38)+$A80,H$63))</f>
        <v>6.0860000000000003</v>
      </c>
      <c r="I80" s="9" t="str" cm="1">
        <f t="array" aca="1" ref="I80" ca="1">"("&amp;TEXT(INDIRECT(ADDRESS(ROW($D$38)+$A80,H$63+2)),"0.0")&amp;"%)"</f>
        <v>(2.2%)</v>
      </c>
      <c r="J80" s="8" cm="1">
        <f t="array" aca="1" ref="J80" ca="1">INDIRECT(ADDRESS(ROW($D$38)+$A80,J$63))</f>
        <v>9.3740000000000006</v>
      </c>
      <c r="K80" s="11" t="str" cm="1">
        <f t="array" aca="1" ref="K80" ca="1">"("&amp;TEXT(INDIRECT(ADDRESS(ROW($D$38)+$A80,J$63+2)),"0.0")&amp;"%)"</f>
        <v>(0.2%)</v>
      </c>
      <c r="L80" s="16" cm="1">
        <f t="array" aca="1" ref="L80" ca="1">INDIRECT(ADDRESS(ROW($D$38)+$A80,L$63))</f>
        <v>10.634</v>
      </c>
      <c r="M80" s="20" t="str" cm="1">
        <f t="array" aca="1" ref="M80" ca="1">"("&amp;TEXT(INDIRECT(ADDRESS(ROW($D$38)+$A80,L$63+2)),"0.0")&amp;"%)"</f>
        <v>(1.5%)</v>
      </c>
      <c r="N80" s="17" cm="1">
        <f t="array" aca="1" ref="N80" ca="1">INDIRECT(ADDRESS(ROW($D$38)+$A80,N$63))</f>
        <v>3.8260000000000001</v>
      </c>
      <c r="O80" s="20" t="str" cm="1">
        <f t="array" aca="1" ref="O80" ca="1">"("&amp;TEXT(INDIRECT(ADDRESS(ROW($D$38)+$A80,N$63+2)),"0.0")&amp;"%)"</f>
        <v>(0.5%)</v>
      </c>
      <c r="P80" s="17" cm="1">
        <f t="array" aca="1" ref="P80" ca="1">INDIRECT(ADDRESS(ROW($D$38)+$A80,P$63))</f>
        <v>4.7699999999999996</v>
      </c>
      <c r="Q80" s="20" t="str" cm="1">
        <f t="array" aca="1" ref="Q80" ca="1">"("&amp;TEXT(INDIRECT(ADDRESS(ROW($D$38)+$A80,P$63+2)),"0.0")&amp;"%)"</f>
        <v>(3.7%)</v>
      </c>
      <c r="R80" s="17" cm="1">
        <f t="array" aca="1" ref="R80" ca="1">INDIRECT(ADDRESS(ROW($D$38)+$A80,R$63))</f>
        <v>9.391</v>
      </c>
      <c r="S80" s="22" t="str" cm="1">
        <f t="array" aca="1" ref="S80" ca="1">"("&amp;TEXT(INDIRECT(ADDRESS(ROW($D$38)+$A80,R$63+2)),"0.0")&amp;"%)"</f>
        <v>(0.2%)</v>
      </c>
      <c r="T80" s="6"/>
    </row>
    <row r="81" spans="1:20" x14ac:dyDescent="0.3">
      <c r="A81" s="1">
        <v>15</v>
      </c>
      <c r="B81" s="6"/>
      <c r="C81" s="24" t="str">
        <f t="shared" ca="1" si="257"/>
        <v>g++_w_lu2_o3</v>
      </c>
      <c r="D81" s="10" cm="1">
        <f t="array" aca="1" ref="D81" ca="1">INDIRECT(ADDRESS(ROW($D$38)+$A81,D$63))</f>
        <v>9.9120000000000008</v>
      </c>
      <c r="E81" s="9" t="str" cm="1">
        <f t="array" aca="1" ref="E81" ca="1">"("&amp;TEXT(INDIRECT(ADDRESS(ROW($D$38)+$A81,D$63+2)),"0.0")&amp;"%)"</f>
        <v>(0.4%)</v>
      </c>
      <c r="F81" s="8" cm="1">
        <f t="array" aca="1" ref="F81" ca="1">INDIRECT(ADDRESS(ROW($D$38)+$A81,F$63))</f>
        <v>3.859</v>
      </c>
      <c r="G81" s="9" t="str" cm="1">
        <f t="array" aca="1" ref="G81" ca="1">"("&amp;TEXT(INDIRECT(ADDRESS(ROW($D$38)+$A81,F$63+2)),"0.0")&amp;"%)"</f>
        <v>(0.9%)</v>
      </c>
      <c r="H81" s="8" cm="1">
        <f t="array" aca="1" ref="H81" ca="1">INDIRECT(ADDRESS(ROW($D$38)+$A81,H$63))</f>
        <v>6.47</v>
      </c>
      <c r="I81" s="9" t="str" cm="1">
        <f t="array" aca="1" ref="I81" ca="1">"("&amp;TEXT(INDIRECT(ADDRESS(ROW($D$38)+$A81,H$63+2)),"0.0")&amp;"%)"</f>
        <v>(3.5%)</v>
      </c>
      <c r="J81" s="8" cm="1">
        <f t="array" aca="1" ref="J81" ca="1">INDIRECT(ADDRESS(ROW($D$38)+$A81,J$63))</f>
        <v>8.7650000000000006</v>
      </c>
      <c r="K81" s="11" t="str" cm="1">
        <f t="array" aca="1" ref="K81" ca="1">"("&amp;TEXT(INDIRECT(ADDRESS(ROW($D$38)+$A81,J$63+2)),"0.0")&amp;"%)"</f>
        <v>(0.2%)</v>
      </c>
      <c r="L81" s="16" cm="1">
        <f t="array" aca="1" ref="L81" ca="1">INDIRECT(ADDRESS(ROW($D$38)+$A81,L$63))</f>
        <v>9.9659999999999993</v>
      </c>
      <c r="M81" s="20" t="str" cm="1">
        <f t="array" aca="1" ref="M81" ca="1">"("&amp;TEXT(INDIRECT(ADDRESS(ROW($D$38)+$A81,L$63+2)),"0.0")&amp;"%)"</f>
        <v>(1.0%)</v>
      </c>
      <c r="N81" s="17" cm="1">
        <f t="array" aca="1" ref="N81" ca="1">INDIRECT(ADDRESS(ROW($D$38)+$A81,N$63))</f>
        <v>3.7869999999999999</v>
      </c>
      <c r="O81" s="20" t="str" cm="1">
        <f t="array" aca="1" ref="O81" ca="1">"("&amp;TEXT(INDIRECT(ADDRESS(ROW($D$38)+$A81,N$63+2)),"0.0")&amp;"%)"</f>
        <v>(1.2%)</v>
      </c>
      <c r="P81" s="17" cm="1">
        <f t="array" aca="1" ref="P81" ca="1">INDIRECT(ADDRESS(ROW($D$38)+$A81,P$63))</f>
        <v>5.64</v>
      </c>
      <c r="Q81" s="20" t="str" cm="1">
        <f t="array" aca="1" ref="Q81" ca="1">"("&amp;TEXT(INDIRECT(ADDRESS(ROW($D$38)+$A81,P$63+2)),"0.0")&amp;"%)"</f>
        <v>(4.7%)</v>
      </c>
      <c r="R81" s="17" cm="1">
        <f t="array" aca="1" ref="R81" ca="1">INDIRECT(ADDRESS(ROW($D$38)+$A81,R$63))</f>
        <v>8.0090000000000003</v>
      </c>
      <c r="S81" s="22" t="str" cm="1">
        <f t="array" aca="1" ref="S81" ca="1">"("&amp;TEXT(INDIRECT(ADDRESS(ROW($D$38)+$A81,R$63+2)),"0.0")&amp;"%)"</f>
        <v>(0.2%)</v>
      </c>
      <c r="T81" s="6"/>
    </row>
    <row r="82" spans="1:20" x14ac:dyDescent="0.3">
      <c r="A82" s="1">
        <v>16</v>
      </c>
      <c r="B82" s="6"/>
      <c r="C82" s="24" t="str">
        <f t="shared" ca="1" si="257"/>
        <v>g++_w_lu4</v>
      </c>
      <c r="D82" s="10" cm="1">
        <f t="array" aca="1" ref="D82" ca="1">INDIRECT(ADDRESS(ROW($D$38)+$A82,D$63))</f>
        <v>10.252000000000001</v>
      </c>
      <c r="E82" s="9" t="str" cm="1">
        <f t="array" aca="1" ref="E82" ca="1">"("&amp;TEXT(INDIRECT(ADDRESS(ROW($D$38)+$A82,D$63+2)),"0.0")&amp;"%)"</f>
        <v>(0.8%)</v>
      </c>
      <c r="F82" s="8" cm="1">
        <f t="array" aca="1" ref="F82" ca="1">INDIRECT(ADDRESS(ROW($D$38)+$A82,F$63))</f>
        <v>3.8290000000000002</v>
      </c>
      <c r="G82" s="9" t="str" cm="1">
        <f t="array" aca="1" ref="G82" ca="1">"("&amp;TEXT(INDIRECT(ADDRESS(ROW($D$38)+$A82,F$63+2)),"0.0")&amp;"%)"</f>
        <v>(0.9%)</v>
      </c>
      <c r="H82" s="8" cm="1">
        <f t="array" aca="1" ref="H82" ca="1">INDIRECT(ADDRESS(ROW($D$38)+$A82,H$63))</f>
        <v>6.21</v>
      </c>
      <c r="I82" s="9" t="str" cm="1">
        <f t="array" aca="1" ref="I82" ca="1">"("&amp;TEXT(INDIRECT(ADDRESS(ROW($D$38)+$A82,H$63+2)),"0.0")&amp;"%)"</f>
        <v>(1.3%)</v>
      </c>
      <c r="J82" s="8" cm="1">
        <f t="array" aca="1" ref="J82" ca="1">INDIRECT(ADDRESS(ROW($D$38)+$A82,J$63))</f>
        <v>9.1170000000000009</v>
      </c>
      <c r="K82" s="11" t="str" cm="1">
        <f t="array" aca="1" ref="K82" ca="1">"("&amp;TEXT(INDIRECT(ADDRESS(ROW($D$38)+$A82,J$63+2)),"0.0")&amp;"%)"</f>
        <v>(0.2%)</v>
      </c>
      <c r="L82" s="16" cm="1">
        <f t="array" aca="1" ref="L82" ca="1">INDIRECT(ADDRESS(ROW($D$38)+$A82,L$63))</f>
        <v>10.268000000000001</v>
      </c>
      <c r="M82" s="20" t="str" cm="1">
        <f t="array" aca="1" ref="M82" ca="1">"("&amp;TEXT(INDIRECT(ADDRESS(ROW($D$38)+$A82,L$63+2)),"0.0")&amp;"%)"</f>
        <v>(1.0%)</v>
      </c>
      <c r="N82" s="17" cm="1">
        <f t="array" aca="1" ref="N82" ca="1">INDIRECT(ADDRESS(ROW($D$38)+$A82,N$63))</f>
        <v>3.8759999999999999</v>
      </c>
      <c r="O82" s="20" t="str" cm="1">
        <f t="array" aca="1" ref="O82" ca="1">"("&amp;TEXT(INDIRECT(ADDRESS(ROW($D$38)+$A82,N$63+2)),"0.0")&amp;"%)"</f>
        <v>(0.9%)</v>
      </c>
      <c r="P82" s="17" cm="1">
        <f t="array" aca="1" ref="P82" ca="1">INDIRECT(ADDRESS(ROW($D$38)+$A82,P$63))</f>
        <v>6.3179999999999996</v>
      </c>
      <c r="Q82" s="20" t="str" cm="1">
        <f t="array" aca="1" ref="Q82" ca="1">"("&amp;TEXT(INDIRECT(ADDRESS(ROW($D$38)+$A82,P$63+2)),"0.0")&amp;"%)"</f>
        <v>(3.4%)</v>
      </c>
      <c r="R82" s="17" cm="1">
        <f t="array" aca="1" ref="R82" ca="1">INDIRECT(ADDRESS(ROW($D$38)+$A82,R$63))</f>
        <v>9.0259999999999998</v>
      </c>
      <c r="S82" s="22" t="str" cm="1">
        <f t="array" aca="1" ref="S82" ca="1">"("&amp;TEXT(INDIRECT(ADDRESS(ROW($D$38)+$A82,R$63+2)),"0.0")&amp;"%)"</f>
        <v>(0.3%)</v>
      </c>
      <c r="T82" s="6"/>
    </row>
    <row r="83" spans="1:20" x14ac:dyDescent="0.3">
      <c r="A83" s="1">
        <v>17</v>
      </c>
      <c r="B83" s="6"/>
      <c r="C83" s="24" t="str">
        <f t="shared" ca="1" si="257"/>
        <v>g++_w_lu8</v>
      </c>
      <c r="D83" s="10" cm="1">
        <f t="array" aca="1" ref="D83" ca="1">INDIRECT(ADDRESS(ROW($D$38)+$A83,D$63))</f>
        <v>10.201000000000001</v>
      </c>
      <c r="E83" s="9" t="str" cm="1">
        <f t="array" aca="1" ref="E83" ca="1">"("&amp;TEXT(INDIRECT(ADDRESS(ROW($D$38)+$A83,D$63+2)),"0.0")&amp;"%)"</f>
        <v>(0.6%)</v>
      </c>
      <c r="F83" s="8" cm="1">
        <f t="array" aca="1" ref="F83" ca="1">INDIRECT(ADDRESS(ROW($D$38)+$A83,F$63))</f>
        <v>3.8159999999999998</v>
      </c>
      <c r="G83" s="9" t="str" cm="1">
        <f t="array" aca="1" ref="G83" ca="1">"("&amp;TEXT(INDIRECT(ADDRESS(ROW($D$38)+$A83,F$63+2)),"0.0")&amp;"%)"</f>
        <v>(0.6%)</v>
      </c>
      <c r="H83" s="8" cm="1">
        <f t="array" aca="1" ref="H83" ca="1">INDIRECT(ADDRESS(ROW($D$38)+$A83,H$63))</f>
        <v>6.91</v>
      </c>
      <c r="I83" s="9" t="str" cm="1">
        <f t="array" aca="1" ref="I83" ca="1">"("&amp;TEXT(INDIRECT(ADDRESS(ROW($D$38)+$A83,H$63+2)),"0.0")&amp;"%)"</f>
        <v>(2.1%)</v>
      </c>
      <c r="J83" s="8" cm="1">
        <f t="array" aca="1" ref="J83" ca="1">INDIRECT(ADDRESS(ROW($D$38)+$A83,J$63))</f>
        <v>9.0310000000000006</v>
      </c>
      <c r="K83" s="11" t="str" cm="1">
        <f t="array" aca="1" ref="K83" ca="1">"("&amp;TEXT(INDIRECT(ADDRESS(ROW($D$38)+$A83,J$63+2)),"0.0")&amp;"%)"</f>
        <v>(0.2%)</v>
      </c>
      <c r="L83" s="16" cm="1">
        <f t="array" aca="1" ref="L83" ca="1">INDIRECT(ADDRESS(ROW($D$38)+$A83,L$63))</f>
        <v>10.256</v>
      </c>
      <c r="M83" s="20" t="str" cm="1">
        <f t="array" aca="1" ref="M83" ca="1">"("&amp;TEXT(INDIRECT(ADDRESS(ROW($D$38)+$A83,L$63+2)),"0.0")&amp;"%)"</f>
        <v>(0.8%)</v>
      </c>
      <c r="N83" s="17" cm="1">
        <f t="array" aca="1" ref="N83" ca="1">INDIRECT(ADDRESS(ROW($D$38)+$A83,N$63))</f>
        <v>3.8250000000000002</v>
      </c>
      <c r="O83" s="20" t="str" cm="1">
        <f t="array" aca="1" ref="O83" ca="1">"("&amp;TEXT(INDIRECT(ADDRESS(ROW($D$38)+$A83,N$63+2)),"0.0")&amp;"%)"</f>
        <v>(1.1%)</v>
      </c>
      <c r="P83" s="17" cm="1">
        <f t="array" aca="1" ref="P83" ca="1">INDIRECT(ADDRESS(ROW($D$38)+$A83,P$63))</f>
        <v>6.95</v>
      </c>
      <c r="Q83" s="20" t="str" cm="1">
        <f t="array" aca="1" ref="Q83" ca="1">"("&amp;TEXT(INDIRECT(ADDRESS(ROW($D$38)+$A83,P$63+2)),"0.0")&amp;"%)"</f>
        <v>(2.8%)</v>
      </c>
      <c r="R83" s="17" cm="1">
        <f t="array" aca="1" ref="R83" ca="1">INDIRECT(ADDRESS(ROW($D$38)+$A83,R$63))</f>
        <v>9.0289999999999999</v>
      </c>
      <c r="S83" s="22" t="str" cm="1">
        <f t="array" aca="1" ref="S83" ca="1">"("&amp;TEXT(INDIRECT(ADDRESS(ROW($D$38)+$A83,R$63+2)),"0.0")&amp;"%)"</f>
        <v>(0.2%)</v>
      </c>
      <c r="T83" s="6"/>
    </row>
    <row r="84" spans="1:20" x14ac:dyDescent="0.3">
      <c r="A84" s="1">
        <v>18</v>
      </c>
      <c r="B84" s="6"/>
      <c r="C84" s="24" t="str">
        <f t="shared" ca="1" si="257"/>
        <v>icx</v>
      </c>
      <c r="D84" s="10" cm="1">
        <f t="array" aca="1" ref="D84" ca="1">INDIRECT(ADDRESS(ROW($D$38)+$A84,D$63))</f>
        <v>10.114000000000001</v>
      </c>
      <c r="E84" s="9" t="str" cm="1">
        <f t="array" aca="1" ref="E84" ca="1">"("&amp;TEXT(INDIRECT(ADDRESS(ROW($D$38)+$A84,D$63+2)),"0.0")&amp;"%)"</f>
        <v>(0.6%)</v>
      </c>
      <c r="F84" s="8" cm="1">
        <f t="array" aca="1" ref="F84" ca="1">INDIRECT(ADDRESS(ROW($D$38)+$A84,F$63))</f>
        <v>3.7080000000000002</v>
      </c>
      <c r="G84" s="9" t="str" cm="1">
        <f t="array" aca="1" ref="G84" ca="1">"("&amp;TEXT(INDIRECT(ADDRESS(ROW($D$38)+$A84,F$63+2)),"0.0")&amp;"%)"</f>
        <v>(0.7%)</v>
      </c>
      <c r="H84" s="8" cm="1">
        <f t="array" aca="1" ref="H84" ca="1">INDIRECT(ADDRESS(ROW($D$38)+$A84,H$63))</f>
        <v>0</v>
      </c>
      <c r="I84" s="9" t="str" cm="1">
        <f t="array" aca="1" ref="I84" ca="1">"("&amp;TEXT(INDIRECT(ADDRESS(ROW($D$38)+$A84,H$63+2)),"0.0")&amp;"%)"</f>
        <v>(0.0%)</v>
      </c>
      <c r="J84" s="8" cm="1">
        <f t="array" aca="1" ref="J84" ca="1">INDIRECT(ADDRESS(ROW($D$38)+$A84,J$63))</f>
        <v>8.6969999999999992</v>
      </c>
      <c r="K84" s="11" t="str" cm="1">
        <f t="array" aca="1" ref="K84" ca="1">"("&amp;TEXT(INDIRECT(ADDRESS(ROW($D$38)+$A84,J$63+2)),"0.0")&amp;"%)"</f>
        <v>(0.2%)</v>
      </c>
      <c r="L84" s="16" cm="1">
        <f t="array" aca="1" ref="L84" ca="1">INDIRECT(ADDRESS(ROW($D$38)+$A84,L$63))</f>
        <v>10.128</v>
      </c>
      <c r="M84" s="20" t="str" cm="1">
        <f t="array" aca="1" ref="M84" ca="1">"("&amp;TEXT(INDIRECT(ADDRESS(ROW($D$38)+$A84,L$63+2)),"0.0")&amp;"%)"</f>
        <v>(1.0%)</v>
      </c>
      <c r="N84" s="17" cm="1">
        <f t="array" aca="1" ref="N84" ca="1">INDIRECT(ADDRESS(ROW($D$38)+$A84,N$63))</f>
        <v>3.8109999999999999</v>
      </c>
      <c r="O84" s="20" t="str" cm="1">
        <f t="array" aca="1" ref="O84" ca="1">"("&amp;TEXT(INDIRECT(ADDRESS(ROW($D$38)+$A84,N$63+2)),"0.0")&amp;"%)"</f>
        <v>(1.1%)</v>
      </c>
      <c r="P84" s="17" cm="1">
        <f t="array" aca="1" ref="P84" ca="1">INDIRECT(ADDRESS(ROW($D$38)+$A84,P$63))</f>
        <v>0</v>
      </c>
      <c r="Q84" s="20" t="str" cm="1">
        <f t="array" aca="1" ref="Q84" ca="1">"("&amp;TEXT(INDIRECT(ADDRESS(ROW($D$38)+$A84,P$63+2)),"0.0")&amp;"%)"</f>
        <v>(0.0%)</v>
      </c>
      <c r="R84" s="17" cm="1">
        <f t="array" aca="1" ref="R84" ca="1">INDIRECT(ADDRESS(ROW($D$38)+$A84,R$63))</f>
        <v>8.0239999999999991</v>
      </c>
      <c r="S84" s="22" t="str" cm="1">
        <f t="array" aca="1" ref="S84" ca="1">"("&amp;TEXT(INDIRECT(ADDRESS(ROW($D$38)+$A84,R$63+2)),"0.0")&amp;"%)"</f>
        <v>(0.2%)</v>
      </c>
      <c r="T84" s="6"/>
    </row>
    <row r="85" spans="1:20" x14ac:dyDescent="0.3">
      <c r="A85" s="1">
        <v>19</v>
      </c>
      <c r="B85" s="6"/>
      <c r="C85" s="24" t="str">
        <f t="shared" ca="1" si="257"/>
        <v>icx_o3</v>
      </c>
      <c r="D85" s="10" cm="1">
        <f t="array" aca="1" ref="D85" ca="1">INDIRECT(ADDRESS(ROW($D$38)+$A85,D$63))</f>
        <v>10.196999999999999</v>
      </c>
      <c r="E85" s="9" t="str" cm="1">
        <f t="array" aca="1" ref="E85" ca="1">"("&amp;TEXT(INDIRECT(ADDRESS(ROW($D$38)+$A85,D$63+2)),"0.0")&amp;"%)"</f>
        <v>(0.6%)</v>
      </c>
      <c r="F85" s="8" cm="1">
        <f t="array" aca="1" ref="F85" ca="1">INDIRECT(ADDRESS(ROW($D$38)+$A85,F$63))</f>
        <v>3.73</v>
      </c>
      <c r="G85" s="9" t="str" cm="1">
        <f t="array" aca="1" ref="G85" ca="1">"("&amp;TEXT(INDIRECT(ADDRESS(ROW($D$38)+$A85,F$63+2)),"0.0")&amp;"%)"</f>
        <v>(0.8%)</v>
      </c>
      <c r="H85" s="8" cm="1">
        <f t="array" aca="1" ref="H85" ca="1">INDIRECT(ADDRESS(ROW($D$38)+$A85,H$63))</f>
        <v>0</v>
      </c>
      <c r="I85" s="9" t="str" cm="1">
        <f t="array" aca="1" ref="I85" ca="1">"("&amp;TEXT(INDIRECT(ADDRESS(ROW($D$38)+$A85,H$63+2)),"0.0")&amp;"%)"</f>
        <v>(0.0%)</v>
      </c>
      <c r="J85" s="8" cm="1">
        <f t="array" aca="1" ref="J85" ca="1">INDIRECT(ADDRESS(ROW($D$38)+$A85,J$63))</f>
        <v>8.6440000000000001</v>
      </c>
      <c r="K85" s="11" t="str" cm="1">
        <f t="array" aca="1" ref="K85" ca="1">"("&amp;TEXT(INDIRECT(ADDRESS(ROW($D$38)+$A85,J$63+2)),"0.0")&amp;"%)"</f>
        <v>(0.2%)</v>
      </c>
      <c r="L85" s="16" cm="1">
        <f t="array" aca="1" ref="L85" ca="1">INDIRECT(ADDRESS(ROW($D$38)+$A85,L$63))</f>
        <v>9.8379999999999992</v>
      </c>
      <c r="M85" s="20" t="str" cm="1">
        <f t="array" aca="1" ref="M85" ca="1">"("&amp;TEXT(INDIRECT(ADDRESS(ROW($D$38)+$A85,L$63+2)),"0.0")&amp;"%)"</f>
        <v>(0.9%)</v>
      </c>
      <c r="N85" s="17" cm="1">
        <f t="array" aca="1" ref="N85" ca="1">INDIRECT(ADDRESS(ROW($D$38)+$A85,N$63))</f>
        <v>3.6469999999999998</v>
      </c>
      <c r="O85" s="20" t="str" cm="1">
        <f t="array" aca="1" ref="O85" ca="1">"("&amp;TEXT(INDIRECT(ADDRESS(ROW($D$38)+$A85,N$63+2)),"0.0")&amp;"%)"</f>
        <v>(0.9%)</v>
      </c>
      <c r="P85" s="17" cm="1">
        <f t="array" aca="1" ref="P85" ca="1">INDIRECT(ADDRESS(ROW($D$38)+$A85,P$63))</f>
        <v>0</v>
      </c>
      <c r="Q85" s="20" t="str" cm="1">
        <f t="array" aca="1" ref="Q85" ca="1">"("&amp;TEXT(INDIRECT(ADDRESS(ROW($D$38)+$A85,P$63+2)),"0.0")&amp;"%)"</f>
        <v>(0.0%)</v>
      </c>
      <c r="R85" s="17" cm="1">
        <f t="array" aca="1" ref="R85" ca="1">INDIRECT(ADDRESS(ROW($D$38)+$A85,R$63))</f>
        <v>8.032</v>
      </c>
      <c r="S85" s="22" t="str" cm="1">
        <f t="array" aca="1" ref="S85" ca="1">"("&amp;TEXT(INDIRECT(ADDRESS(ROW($D$38)+$A85,R$63+2)),"0.0")&amp;"%)"</f>
        <v>(0.3%)</v>
      </c>
      <c r="T85" s="6"/>
    </row>
    <row r="86" spans="1:20" x14ac:dyDescent="0.3">
      <c r="A86" s="1">
        <v>20</v>
      </c>
      <c r="B86" s="6"/>
      <c r="C86" s="24" t="str">
        <f t="shared" ca="1" si="257"/>
        <v>icx_w_lu2</v>
      </c>
      <c r="D86" s="10" cm="1">
        <f t="array" aca="1" ref="D86" ca="1">INDIRECT(ADDRESS(ROW($D$38)+$A86,D$63))</f>
        <v>10.013999999999999</v>
      </c>
      <c r="E86" s="9" t="str" cm="1">
        <f t="array" aca="1" ref="E86" ca="1">"("&amp;TEXT(INDIRECT(ADDRESS(ROW($D$38)+$A86,D$63+2)),"0.0")&amp;"%)"</f>
        <v>(0.4%)</v>
      </c>
      <c r="F86" s="8" cm="1">
        <f t="array" aca="1" ref="F86" ca="1">INDIRECT(ADDRESS(ROW($D$38)+$A86,F$63))</f>
        <v>3.843</v>
      </c>
      <c r="G86" s="9" t="str" cm="1">
        <f t="array" aca="1" ref="G86" ca="1">"("&amp;TEXT(INDIRECT(ADDRESS(ROW($D$38)+$A86,F$63+2)),"0.0")&amp;"%)"</f>
        <v>(1.0%)</v>
      </c>
      <c r="H86" s="8" cm="1">
        <f t="array" aca="1" ref="H86" ca="1">INDIRECT(ADDRESS(ROW($D$38)+$A86,H$63))</f>
        <v>0</v>
      </c>
      <c r="I86" s="9" t="str" cm="1">
        <f t="array" aca="1" ref="I86" ca="1">"("&amp;TEXT(INDIRECT(ADDRESS(ROW($D$38)+$A86,H$63+2)),"0.0")&amp;"%)"</f>
        <v>(0.0%)</v>
      </c>
      <c r="J86" s="8" cm="1">
        <f t="array" aca="1" ref="J86" ca="1">INDIRECT(ADDRESS(ROW($D$38)+$A86,J$63))</f>
        <v>8.6709999999999994</v>
      </c>
      <c r="K86" s="11" t="str" cm="1">
        <f t="array" aca="1" ref="K86" ca="1">"("&amp;TEXT(INDIRECT(ADDRESS(ROW($D$38)+$A86,J$63+2)),"0.0")&amp;"%)"</f>
        <v>(0.2%)</v>
      </c>
      <c r="L86" s="16" cm="1">
        <f t="array" aca="1" ref="L86" ca="1">INDIRECT(ADDRESS(ROW($D$38)+$A86,L$63))</f>
        <v>9.6790000000000003</v>
      </c>
      <c r="M86" s="20" t="str" cm="1">
        <f t="array" aca="1" ref="M86" ca="1">"("&amp;TEXT(INDIRECT(ADDRESS(ROW($D$38)+$A86,L$63+2)),"0.0")&amp;"%)"</f>
        <v>(1.2%)</v>
      </c>
      <c r="N86" s="17" cm="1">
        <f t="array" aca="1" ref="N86" ca="1">INDIRECT(ADDRESS(ROW($D$38)+$A86,N$63))</f>
        <v>3.6339999999999999</v>
      </c>
      <c r="O86" s="20" t="str" cm="1">
        <f t="array" aca="1" ref="O86" ca="1">"("&amp;TEXT(INDIRECT(ADDRESS(ROW($D$38)+$A86,N$63+2)),"0.0")&amp;"%)"</f>
        <v>(0.9%)</v>
      </c>
      <c r="P86" s="17" cm="1">
        <f t="array" aca="1" ref="P86" ca="1">INDIRECT(ADDRESS(ROW($D$38)+$A86,P$63))</f>
        <v>0</v>
      </c>
      <c r="Q86" s="20" t="str" cm="1">
        <f t="array" aca="1" ref="Q86" ca="1">"("&amp;TEXT(INDIRECT(ADDRESS(ROW($D$38)+$A86,P$63+2)),"0.0")&amp;"%)"</f>
        <v>(0.0%)</v>
      </c>
      <c r="R86" s="17" cm="1">
        <f t="array" aca="1" ref="R86" ca="1">INDIRECT(ADDRESS(ROW($D$38)+$A86,R$63))</f>
        <v>7.9809999999999999</v>
      </c>
      <c r="S86" s="22" t="str" cm="1">
        <f t="array" aca="1" ref="S86" ca="1">"("&amp;TEXT(INDIRECT(ADDRESS(ROW($D$38)+$A86,R$63+2)),"0.0")&amp;"%)"</f>
        <v>(0.2%)</v>
      </c>
      <c r="T86" s="6"/>
    </row>
    <row r="87" spans="1:20" x14ac:dyDescent="0.3">
      <c r="A87" s="1">
        <v>21</v>
      </c>
      <c r="B87" s="6"/>
      <c r="C87" s="24" t="str">
        <f t="shared" ca="1" si="257"/>
        <v>icx_w_lu2_o3</v>
      </c>
      <c r="D87" s="10" cm="1">
        <f t="array" aca="1" ref="D87" ca="1">INDIRECT(ADDRESS(ROW($D$38)+$A87,D$63))</f>
        <v>10.131</v>
      </c>
      <c r="E87" s="9" t="str" cm="1">
        <f t="array" aca="1" ref="E87" ca="1">"("&amp;TEXT(INDIRECT(ADDRESS(ROW($D$38)+$A87,D$63+2)),"0.0")&amp;"%)"</f>
        <v>(0.6%)</v>
      </c>
      <c r="F87" s="8" cm="1">
        <f t="array" aca="1" ref="F87" ca="1">INDIRECT(ADDRESS(ROW($D$38)+$A87,F$63))</f>
        <v>3.85</v>
      </c>
      <c r="G87" s="9" t="str" cm="1">
        <f t="array" aca="1" ref="G87" ca="1">"("&amp;TEXT(INDIRECT(ADDRESS(ROW($D$38)+$A87,F$63+2)),"0.0")&amp;"%)"</f>
        <v>(0.9%)</v>
      </c>
      <c r="H87" s="8" cm="1">
        <f t="array" aca="1" ref="H87" ca="1">INDIRECT(ADDRESS(ROW($D$38)+$A87,H$63))</f>
        <v>0</v>
      </c>
      <c r="I87" s="9" t="str" cm="1">
        <f t="array" aca="1" ref="I87" ca="1">"("&amp;TEXT(INDIRECT(ADDRESS(ROW($D$38)+$A87,H$63+2)),"0.0")&amp;"%)"</f>
        <v>(0.0%)</v>
      </c>
      <c r="J87" s="8" cm="1">
        <f t="array" aca="1" ref="J87" ca="1">INDIRECT(ADDRESS(ROW($D$38)+$A87,J$63))</f>
        <v>8.6129999999999995</v>
      </c>
      <c r="K87" s="11" t="str" cm="1">
        <f t="array" aca="1" ref="K87" ca="1">"("&amp;TEXT(INDIRECT(ADDRESS(ROW($D$38)+$A87,J$63+2)),"0.0")&amp;"%)"</f>
        <v>(0.2%)</v>
      </c>
      <c r="L87" s="16" cm="1">
        <f t="array" aca="1" ref="L87" ca="1">INDIRECT(ADDRESS(ROW($D$38)+$A87,L$63))</f>
        <v>10.273999999999999</v>
      </c>
      <c r="M87" s="20" t="str" cm="1">
        <f t="array" aca="1" ref="M87" ca="1">"("&amp;TEXT(INDIRECT(ADDRESS(ROW($D$38)+$A87,L$63+2)),"0.0")&amp;"%)"</f>
        <v>(1.1%)</v>
      </c>
      <c r="N87" s="17" cm="1">
        <f t="array" aca="1" ref="N87" ca="1">INDIRECT(ADDRESS(ROW($D$38)+$A87,N$63))</f>
        <v>3.7080000000000002</v>
      </c>
      <c r="O87" s="20" t="str" cm="1">
        <f t="array" aca="1" ref="O87" ca="1">"("&amp;TEXT(INDIRECT(ADDRESS(ROW($D$38)+$A87,N$63+2)),"0.0")&amp;"%)"</f>
        <v>(1.0%)</v>
      </c>
      <c r="P87" s="17" cm="1">
        <f t="array" aca="1" ref="P87" ca="1">INDIRECT(ADDRESS(ROW($D$38)+$A87,P$63))</f>
        <v>0</v>
      </c>
      <c r="Q87" s="20" t="str" cm="1">
        <f t="array" aca="1" ref="Q87" ca="1">"("&amp;TEXT(INDIRECT(ADDRESS(ROW($D$38)+$A87,P$63+2)),"0.0")&amp;"%)"</f>
        <v>(0.0%)</v>
      </c>
      <c r="R87" s="17" cm="1">
        <f t="array" aca="1" ref="R87" ca="1">INDIRECT(ADDRESS(ROW($D$38)+$A87,R$63))</f>
        <v>8.01</v>
      </c>
      <c r="S87" s="22" t="str" cm="1">
        <f t="array" aca="1" ref="S87" ca="1">"("&amp;TEXT(INDIRECT(ADDRESS(ROW($D$38)+$A87,R$63+2)),"0.0")&amp;"%)"</f>
        <v>(0.2%)</v>
      </c>
      <c r="T87" s="6"/>
    </row>
    <row r="88" spans="1:20" x14ac:dyDescent="0.3">
      <c r="A88" s="1">
        <v>22</v>
      </c>
      <c r="B88" s="6"/>
      <c r="C88" s="24" t="str">
        <f t="shared" ca="1" si="257"/>
        <v>icx_w_lu4</v>
      </c>
      <c r="D88" s="10" cm="1">
        <f t="array" aca="1" ref="D88" ca="1">INDIRECT(ADDRESS(ROW($D$38)+$A88,D$63))</f>
        <v>10.502000000000001</v>
      </c>
      <c r="E88" s="9" t="str" cm="1">
        <f t="array" aca="1" ref="E88" ca="1">"("&amp;TEXT(INDIRECT(ADDRESS(ROW($D$38)+$A88,D$63+2)),"0.0")&amp;"%)"</f>
        <v>(0.5%)</v>
      </c>
      <c r="F88" s="8" cm="1">
        <f t="array" aca="1" ref="F88" ca="1">INDIRECT(ADDRESS(ROW($D$38)+$A88,F$63))</f>
        <v>3.7480000000000002</v>
      </c>
      <c r="G88" s="9" t="str" cm="1">
        <f t="array" aca="1" ref="G88" ca="1">"("&amp;TEXT(INDIRECT(ADDRESS(ROW($D$38)+$A88,F$63+2)),"0.0")&amp;"%)"</f>
        <v>(0.8%)</v>
      </c>
      <c r="H88" s="8" cm="1">
        <f t="array" aca="1" ref="H88" ca="1">INDIRECT(ADDRESS(ROW($D$38)+$A88,H$63))</f>
        <v>0</v>
      </c>
      <c r="I88" s="9" t="str" cm="1">
        <f t="array" aca="1" ref="I88" ca="1">"("&amp;TEXT(INDIRECT(ADDRESS(ROW($D$38)+$A88,H$63+2)),"0.0")&amp;"%)"</f>
        <v>(0.0%)</v>
      </c>
      <c r="J88" s="8" cm="1">
        <f t="array" aca="1" ref="J88" ca="1">INDIRECT(ADDRESS(ROW($D$38)+$A88,J$63))</f>
        <v>8.6289999999999996</v>
      </c>
      <c r="K88" s="11" t="str" cm="1">
        <f t="array" aca="1" ref="K88" ca="1">"("&amp;TEXT(INDIRECT(ADDRESS(ROW($D$38)+$A88,J$63+2)),"0.0")&amp;"%)"</f>
        <v>(0.3%)</v>
      </c>
      <c r="L88" s="16" cm="1">
        <f t="array" aca="1" ref="L88" ca="1">INDIRECT(ADDRESS(ROW($D$38)+$A88,L$63))</f>
        <v>10.311999999999999</v>
      </c>
      <c r="M88" s="20" t="str" cm="1">
        <f t="array" aca="1" ref="M88" ca="1">"("&amp;TEXT(INDIRECT(ADDRESS(ROW($D$38)+$A88,L$63+2)),"0.0")&amp;"%)"</f>
        <v>(1.0%)</v>
      </c>
      <c r="N88" s="17" cm="1">
        <f t="array" aca="1" ref="N88" ca="1">INDIRECT(ADDRESS(ROW($D$38)+$A88,N$63))</f>
        <v>3.71</v>
      </c>
      <c r="O88" s="20" t="str" cm="1">
        <f t="array" aca="1" ref="O88" ca="1">"("&amp;TEXT(INDIRECT(ADDRESS(ROW($D$38)+$A88,N$63+2)),"0.0")&amp;"%)"</f>
        <v>(0.8%)</v>
      </c>
      <c r="P88" s="17" cm="1">
        <f t="array" aca="1" ref="P88" ca="1">INDIRECT(ADDRESS(ROW($D$38)+$A88,P$63))</f>
        <v>0</v>
      </c>
      <c r="Q88" s="20" t="str" cm="1">
        <f t="array" aca="1" ref="Q88" ca="1">"("&amp;TEXT(INDIRECT(ADDRESS(ROW($D$38)+$A88,P$63+2)),"0.0")&amp;"%)"</f>
        <v>(0.0%)</v>
      </c>
      <c r="R88" s="17" cm="1">
        <f t="array" aca="1" ref="R88" ca="1">INDIRECT(ADDRESS(ROW($D$38)+$A88,R$63))</f>
        <v>8.0289999999999999</v>
      </c>
      <c r="S88" s="22" t="str" cm="1">
        <f t="array" aca="1" ref="S88" ca="1">"("&amp;TEXT(INDIRECT(ADDRESS(ROW($D$38)+$A88,R$63+2)),"0.0")&amp;"%)"</f>
        <v>(0.2%)</v>
      </c>
      <c r="T88" s="6"/>
    </row>
    <row r="89" spans="1:20" ht="25" thickBot="1" x14ac:dyDescent="0.35">
      <c r="A89" s="1">
        <v>23</v>
      </c>
      <c r="B89" s="6"/>
      <c r="C89" s="25" t="str">
        <f t="shared" ca="1" si="257"/>
        <v>icx_w_lu8</v>
      </c>
      <c r="D89" s="12" cm="1">
        <f t="array" aca="1" ref="D89" ca="1">INDIRECT(ADDRESS(ROW($D$38)+$A89,D$63))</f>
        <v>10.43</v>
      </c>
      <c r="E89" s="13" t="str" cm="1">
        <f t="array" aca="1" ref="E89" ca="1">"("&amp;TEXT(INDIRECT(ADDRESS(ROW($D$38)+$A89,D$63+2)),"0.0")&amp;"%)"</f>
        <v>(0.7%)</v>
      </c>
      <c r="F89" s="14" cm="1">
        <f t="array" aca="1" ref="F89" ca="1">INDIRECT(ADDRESS(ROW($D$38)+$A89,F$63))</f>
        <v>3.8029999999999999</v>
      </c>
      <c r="G89" s="13" t="str" cm="1">
        <f t="array" aca="1" ref="G89" ca="1">"("&amp;TEXT(INDIRECT(ADDRESS(ROW($D$38)+$A89,F$63+2)),"0.0")&amp;"%)"</f>
        <v>(0.9%)</v>
      </c>
      <c r="H89" s="14" cm="1">
        <f t="array" aca="1" ref="H89" ca="1">INDIRECT(ADDRESS(ROW($D$38)+$A89,H$63))</f>
        <v>0</v>
      </c>
      <c r="I89" s="13" t="str" cm="1">
        <f t="array" aca="1" ref="I89" ca="1">"("&amp;TEXT(INDIRECT(ADDRESS(ROW($D$38)+$A89,H$63+2)),"0.0")&amp;"%)"</f>
        <v>(0.0%)</v>
      </c>
      <c r="J89" s="14" cm="1">
        <f t="array" aca="1" ref="J89" ca="1">INDIRECT(ADDRESS(ROW($D$38)+$A89,J$63))</f>
        <v>9.1</v>
      </c>
      <c r="K89" s="15" t="str" cm="1">
        <f t="array" aca="1" ref="K89" ca="1">"("&amp;TEXT(INDIRECT(ADDRESS(ROW($D$38)+$A89,J$63+2)),"0.0")&amp;"%)"</f>
        <v>(0.3%)</v>
      </c>
      <c r="L89" s="18" cm="1">
        <f t="array" aca="1" ref="L89" ca="1">INDIRECT(ADDRESS(ROW($D$38)+$A89,L$63))</f>
        <v>10.573</v>
      </c>
      <c r="M89" s="21" t="str" cm="1">
        <f t="array" aca="1" ref="M89" ca="1">"("&amp;TEXT(INDIRECT(ADDRESS(ROW($D$38)+$A89,L$63+2)),"0.0")&amp;"%)"</f>
        <v>(1.1%)</v>
      </c>
      <c r="N89" s="19" cm="1">
        <f t="array" aca="1" ref="N89" ca="1">INDIRECT(ADDRESS(ROW($D$38)+$A89,N$63))</f>
        <v>3.758</v>
      </c>
      <c r="O89" s="21" t="str" cm="1">
        <f t="array" aca="1" ref="O89" ca="1">"("&amp;TEXT(INDIRECT(ADDRESS(ROW($D$38)+$A89,N$63+2)),"0.0")&amp;"%)"</f>
        <v>(1.1%)</v>
      </c>
      <c r="P89" s="19" cm="1">
        <f t="array" aca="1" ref="P89" ca="1">INDIRECT(ADDRESS(ROW($D$38)+$A89,P$63))</f>
        <v>0</v>
      </c>
      <c r="Q89" s="21" t="str" cm="1">
        <f t="array" aca="1" ref="Q89" ca="1">"("&amp;TEXT(INDIRECT(ADDRESS(ROW($D$38)+$A89,P$63+2)),"0.0")&amp;"%)"</f>
        <v>(0.0%)</v>
      </c>
      <c r="R89" s="19" cm="1">
        <f t="array" aca="1" ref="R89" ca="1">INDIRECT(ADDRESS(ROW($D$38)+$A89,R$63))</f>
        <v>9.1270000000000007</v>
      </c>
      <c r="S89" s="23" t="str" cm="1">
        <f t="array" aca="1" ref="S89" ca="1">"("&amp;TEXT(INDIRECT(ADDRESS(ROW($D$38)+$A89,R$63+2)),"0.0")&amp;"%)"</f>
        <v>(0.2%)</v>
      </c>
      <c r="T89" s="6"/>
    </row>
    <row r="90" spans="1:20" x14ac:dyDescent="0.3">
      <c r="A90" s="1">
        <v>24</v>
      </c>
      <c r="B90" s="6"/>
      <c r="C90" s="6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</row>
  </sheetData>
  <mergeCells count="8">
    <mergeCell ref="P65:Q65"/>
    <mergeCell ref="R65:S65"/>
    <mergeCell ref="D65:E65"/>
    <mergeCell ref="F65:G65"/>
    <mergeCell ref="H65:I65"/>
    <mergeCell ref="J65:K65"/>
    <mergeCell ref="L65:M65"/>
    <mergeCell ref="N65:O6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3051-1D96-FF4E-890E-A0A35A4FAD4E}">
  <dimension ref="A5:AC90"/>
  <sheetViews>
    <sheetView topLeftCell="A37" workbookViewId="0">
      <selection activeCell="U82" sqref="U82"/>
    </sheetView>
  </sheetViews>
  <sheetFormatPr baseColWidth="10" defaultRowHeight="24" x14ac:dyDescent="0.3"/>
  <cols>
    <col min="1" max="1" width="10.83203125" style="1"/>
    <col min="2" max="2" width="15.5" style="1" customWidth="1"/>
    <col min="3" max="3" width="23.33203125" style="1" customWidth="1"/>
    <col min="4" max="4" width="9.33203125" style="1" customWidth="1"/>
    <col min="5" max="5" width="11.83203125" style="1" customWidth="1"/>
    <col min="6" max="6" width="9.33203125" style="1" customWidth="1"/>
    <col min="7" max="7" width="11.83203125" style="1" customWidth="1"/>
    <col min="8" max="8" width="9.33203125" style="1" customWidth="1"/>
    <col min="9" max="9" width="11.83203125" style="1" customWidth="1"/>
    <col min="10" max="10" width="9.33203125" style="1" customWidth="1"/>
    <col min="11" max="11" width="11.83203125" style="1" customWidth="1"/>
    <col min="12" max="12" width="9.33203125" style="1" customWidth="1"/>
    <col min="13" max="13" width="11.83203125" style="1" customWidth="1"/>
    <col min="14" max="14" width="9.33203125" style="1" customWidth="1"/>
    <col min="15" max="15" width="11.83203125" style="1" customWidth="1"/>
    <col min="16" max="16" width="9.33203125" style="1" customWidth="1"/>
    <col min="17" max="17" width="11.83203125" style="1" customWidth="1"/>
    <col min="18" max="18" width="9.33203125" style="1" customWidth="1"/>
    <col min="19" max="19" width="11.83203125" style="1" customWidth="1"/>
    <col min="20" max="29" width="20.83203125" style="1" customWidth="1"/>
    <col min="30" max="16384" width="10.83203125" style="1"/>
  </cols>
  <sheetData>
    <row r="5" spans="1:29" x14ac:dyDescent="0.3">
      <c r="B5" s="1" t="s">
        <v>141</v>
      </c>
      <c r="C5" s="5">
        <v>2</v>
      </c>
    </row>
    <row r="6" spans="1:29" x14ac:dyDescent="0.3">
      <c r="C6" s="1" t="s">
        <v>142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</row>
    <row r="10" spans="1:29" ht="100" x14ac:dyDescent="0.3">
      <c r="C10" s="4" t="s">
        <v>140</v>
      </c>
      <c r="D10" s="3" t="s">
        <v>137</v>
      </c>
      <c r="G10" s="3" t="s">
        <v>143</v>
      </c>
      <c r="J10" s="3" t="s">
        <v>138</v>
      </c>
      <c r="M10" s="3" t="s">
        <v>144</v>
      </c>
      <c r="P10" s="3" t="s">
        <v>139</v>
      </c>
      <c r="S10" s="3" t="s">
        <v>145</v>
      </c>
      <c r="V10" s="3" t="s">
        <v>147</v>
      </c>
      <c r="Y10" s="3" t="s">
        <v>146</v>
      </c>
      <c r="AB10" s="3"/>
      <c r="AC10" s="3"/>
    </row>
    <row r="11" spans="1:29" x14ac:dyDescent="0.3">
      <c r="A11" s="1">
        <v>0</v>
      </c>
      <c r="C11" s="1" t="str" cm="1">
        <f t="array" aca="1" ref="C11" ca="1">INDIRECT("RawData!A"&amp;TEXT(C$5+A11,"0"))</f>
        <v>Test1/gfortran.x</v>
      </c>
      <c r="D11" s="1" cm="1">
        <f t="array" aca="1" ref="D11" ca="1">INDIRECT("RawData!"&amp;ADDRESS($C$5+$A11,D$6))</f>
        <v>7.1449999999999996</v>
      </c>
      <c r="E11" s="1" cm="1">
        <f t="array" aca="1" ref="E11" ca="1">INDIRECT("RawData!"&amp;ADDRESS($C$5+$A11,E$6))</f>
        <v>0.20721999999999999</v>
      </c>
      <c r="F11" s="1" cm="1">
        <f t="array" aca="1" ref="F11" ca="1">INDIRECT("RawData!"&amp;ADDRESS($C$5+$A11,F$6))</f>
        <v>3.2759999999999997E-2</v>
      </c>
      <c r="G11" s="1" cm="1">
        <f t="array" aca="1" ref="G11" ca="1">INDIRECT("RawData!"&amp;ADDRESS($C$5+$A11,G$6))</f>
        <v>7.056</v>
      </c>
      <c r="H11" s="1" cm="1">
        <f t="array" aca="1" ref="H11" ca="1">INDIRECT("RawData!"&amp;ADDRESS($C$5+$A11,H$6))</f>
        <v>0.21376000000000001</v>
      </c>
      <c r="I11" s="1" cm="1">
        <f t="array" aca="1" ref="I11" ca="1">INDIRECT("RawData!"&amp;ADDRESS($C$5+$A11,I$6))</f>
        <v>3.3799999999999997E-2</v>
      </c>
      <c r="J11" s="1" cm="1">
        <f t="array" aca="1" ref="J11" ca="1">INDIRECT("RawData!"&amp;ADDRESS($C$5+$A11,J$6))</f>
        <v>5.42</v>
      </c>
      <c r="K11" s="1" cm="1">
        <f t="array" aca="1" ref="K11" ca="1">INDIRECT("RawData!"&amp;ADDRESS($C$5+$A11,K$6))</f>
        <v>4.7629999999999999E-2</v>
      </c>
      <c r="L11" s="1" cm="1">
        <f t="array" aca="1" ref="L11" ca="1">INDIRECT("RawData!"&amp;ADDRESS($C$5+$A11,L$6))</f>
        <v>7.5300000000000002E-3</v>
      </c>
      <c r="M11" s="1" cm="1">
        <f t="array" aca="1" ref="M11" ca="1">INDIRECT("RawData!"&amp;ADDRESS($C$5+$A11,M$6))</f>
        <v>5.4450000000000003</v>
      </c>
      <c r="N11" s="1" cm="1">
        <f t="array" aca="1" ref="N11" ca="1">INDIRECT("RawData!"&amp;ADDRESS($C$5+$A11,N$6))</f>
        <v>3.9079999999999997E-2</v>
      </c>
      <c r="O11" s="1" cm="1">
        <f t="array" aca="1" ref="O11" ca="1">INDIRECT("RawData!"&amp;ADDRESS($C$5+$A11,O$6))</f>
        <v>6.1799999999999997E-3</v>
      </c>
      <c r="P11" s="1" cm="1">
        <f t="array" aca="1" ref="P11" ca="1">INDIRECT("RawData!"&amp;ADDRESS($C$5+$A11,P$6))</f>
        <v>11.936</v>
      </c>
      <c r="Q11" s="1" cm="1">
        <f t="array" aca="1" ref="Q11" ca="1">INDIRECT("RawData!"&amp;ADDRESS($C$5+$A11,Q$6))</f>
        <v>3.0882499999999999</v>
      </c>
      <c r="R11" s="1" cm="1">
        <f t="array" aca="1" ref="R11" ca="1">INDIRECT("RawData!"&amp;ADDRESS($C$5+$A11,R$6))</f>
        <v>0.48830000000000001</v>
      </c>
      <c r="S11" s="1" cm="1">
        <f t="array" aca="1" ref="S11" ca="1">INDIRECT("RawData!"&amp;ADDRESS($C$5+$A11,S$6))</f>
        <v>11.651</v>
      </c>
      <c r="T11" s="1" cm="1">
        <f t="array" aca="1" ref="T11" ca="1">INDIRECT("RawData!"&amp;ADDRESS($C$5+$A11,T$6))</f>
        <v>1.1587799999999999</v>
      </c>
      <c r="U11" s="1" cm="1">
        <f t="array" aca="1" ref="U11" ca="1">INDIRECT("RawData!"&amp;ADDRESS($C$5+$A11,U$6))</f>
        <v>0.18321999999999999</v>
      </c>
      <c r="V11" s="1" cm="1">
        <f t="array" aca="1" ref="V11" ca="1">INDIRECT("RawData!"&amp;ADDRESS($C$5+$A11,V$6))</f>
        <v>6.5570000000000004</v>
      </c>
      <c r="W11" s="1" cm="1">
        <f t="array" aca="1" ref="W11" ca="1">INDIRECT("RawData!"&amp;ADDRESS($C$5+$A11,W$6))</f>
        <v>5.1920000000000001E-2</v>
      </c>
      <c r="X11" s="1" cm="1">
        <f t="array" aca="1" ref="X11" ca="1">INDIRECT("RawData!"&amp;ADDRESS($C$5+$A11,X$6))</f>
        <v>8.2100000000000003E-3</v>
      </c>
      <c r="Y11" s="1" cm="1">
        <f t="array" aca="1" ref="Y11" ca="1">INDIRECT("RawData!"&amp;ADDRESS($C$5+$A11,Y$6))</f>
        <v>6.5750000000000002</v>
      </c>
      <c r="Z11" s="1" cm="1">
        <f t="array" aca="1" ref="Z11" ca="1">INDIRECT("RawData!"&amp;ADDRESS($C$5+$A11,Z$6))</f>
        <v>7.1590000000000001E-2</v>
      </c>
      <c r="AA11" s="1" cm="1">
        <f t="array" aca="1" ref="AA11" ca="1">INDIRECT("RawData!"&amp;ADDRESS($C$5+$A11,AA$6))</f>
        <v>1.132E-2</v>
      </c>
    </row>
    <row r="12" spans="1:29" x14ac:dyDescent="0.3">
      <c r="A12" s="1">
        <v>1</v>
      </c>
      <c r="C12" s="1" t="str" cm="1">
        <f t="array" aca="1" ref="C12" ca="1">INDIRECT("RawData!A"&amp;TEXT(C$5+A12,"0"))</f>
        <v>Test1/gfortran_o3.x</v>
      </c>
      <c r="D12" s="1" cm="1">
        <f t="array" aca="1" ref="D12" ca="1">INDIRECT("RawData!"&amp;ADDRESS($C$5+$A12,D$6))</f>
        <v>7.0529999999999999</v>
      </c>
      <c r="E12" s="1" cm="1">
        <f t="array" aca="1" ref="E12" ca="1">INDIRECT("RawData!"&amp;ADDRESS($C$5+$A12,E$6))</f>
        <v>0.21493999999999999</v>
      </c>
      <c r="F12" s="1" cm="1">
        <f t="array" aca="1" ref="F12" ca="1">INDIRECT("RawData!"&amp;ADDRESS($C$5+$A12,F$6))</f>
        <v>3.3980000000000003E-2</v>
      </c>
      <c r="G12" s="1" cm="1">
        <f t="array" aca="1" ref="G12" ca="1">INDIRECT("RawData!"&amp;ADDRESS($C$5+$A12,G$6))</f>
        <v>6.98</v>
      </c>
      <c r="H12" s="1" cm="1">
        <f t="array" aca="1" ref="H12" ca="1">INDIRECT("RawData!"&amp;ADDRESS($C$5+$A12,H$6))</f>
        <v>0.16059999999999999</v>
      </c>
      <c r="I12" s="1" cm="1">
        <f t="array" aca="1" ref="I12" ca="1">INDIRECT("RawData!"&amp;ADDRESS($C$5+$A12,I$6))</f>
        <v>2.5389999999999999E-2</v>
      </c>
      <c r="J12" s="1" cm="1">
        <f t="array" aca="1" ref="J12" ca="1">INDIRECT("RawData!"&amp;ADDRESS($C$5+$A12,J$6))</f>
        <v>5.42</v>
      </c>
      <c r="K12" s="1" cm="1">
        <f t="array" aca="1" ref="K12" ca="1">INDIRECT("RawData!"&amp;ADDRESS($C$5+$A12,K$6))</f>
        <v>2.7099999999999999E-2</v>
      </c>
      <c r="L12" s="1" cm="1">
        <f t="array" aca="1" ref="L12" ca="1">INDIRECT("RawData!"&amp;ADDRESS($C$5+$A12,L$6))</f>
        <v>4.28E-3</v>
      </c>
      <c r="M12" s="1" cm="1">
        <f t="array" aca="1" ref="M12" ca="1">INDIRECT("RawData!"&amp;ADDRESS($C$5+$A12,M$6))</f>
        <v>5.4160000000000004</v>
      </c>
      <c r="N12" s="1" cm="1">
        <f t="array" aca="1" ref="N12" ca="1">INDIRECT("RawData!"&amp;ADDRESS($C$5+$A12,N$6))</f>
        <v>3.1949999999999999E-2</v>
      </c>
      <c r="O12" s="1" cm="1">
        <f t="array" aca="1" ref="O12" ca="1">INDIRECT("RawData!"&amp;ADDRESS($C$5+$A12,O$6))</f>
        <v>5.0499999999999998E-3</v>
      </c>
      <c r="P12" s="1" cm="1">
        <f t="array" aca="1" ref="P12" ca="1">INDIRECT("RawData!"&amp;ADDRESS($C$5+$A12,P$6))</f>
        <v>12.206</v>
      </c>
      <c r="Q12" s="1" cm="1">
        <f t="array" aca="1" ref="Q12" ca="1">INDIRECT("RawData!"&amp;ADDRESS($C$5+$A12,Q$6))</f>
        <v>1.4396800000000001</v>
      </c>
      <c r="R12" s="1" cm="1">
        <f t="array" aca="1" ref="R12" ca="1">INDIRECT("RawData!"&amp;ADDRESS($C$5+$A12,R$6))</f>
        <v>0.22763</v>
      </c>
      <c r="S12" s="1" cm="1">
        <f t="array" aca="1" ref="S12" ca="1">INDIRECT("RawData!"&amp;ADDRESS($C$5+$A12,S$6))</f>
        <v>12.534000000000001</v>
      </c>
      <c r="T12" s="1" cm="1">
        <f t="array" aca="1" ref="T12" ca="1">INDIRECT("RawData!"&amp;ADDRESS($C$5+$A12,T$6))</f>
        <v>1.1180600000000001</v>
      </c>
      <c r="U12" s="1" cm="1">
        <f t="array" aca="1" ref="U12" ca="1">INDIRECT("RawData!"&amp;ADDRESS($C$5+$A12,U$6))</f>
        <v>0.17677999999999999</v>
      </c>
      <c r="V12" s="1" cm="1">
        <f t="array" aca="1" ref="V12" ca="1">INDIRECT("RawData!"&amp;ADDRESS($C$5+$A12,V$6))</f>
        <v>6.5469999999999997</v>
      </c>
      <c r="W12" s="1" cm="1">
        <f t="array" aca="1" ref="W12" ca="1">INDIRECT("RawData!"&amp;ADDRESS($C$5+$A12,W$6))</f>
        <v>4.6769999999999999E-2</v>
      </c>
      <c r="X12" s="1" cm="1">
        <f t="array" aca="1" ref="X12" ca="1">INDIRECT("RawData!"&amp;ADDRESS($C$5+$A12,X$6))</f>
        <v>7.4000000000000003E-3</v>
      </c>
      <c r="Y12" s="1" cm="1">
        <f t="array" aca="1" ref="Y12" ca="1">INDIRECT("RawData!"&amp;ADDRESS($C$5+$A12,Y$6))</f>
        <v>6.5659999999999998</v>
      </c>
      <c r="Z12" s="1" cm="1">
        <f t="array" aca="1" ref="Z12" ca="1">INDIRECT("RawData!"&amp;ADDRESS($C$5+$A12,Z$6))</f>
        <v>0.15226000000000001</v>
      </c>
      <c r="AA12" s="1" cm="1">
        <f t="array" aca="1" ref="AA12" ca="1">INDIRECT("RawData!"&amp;ADDRESS($C$5+$A12,AA$6))</f>
        <v>2.4070000000000001E-2</v>
      </c>
    </row>
    <row r="13" spans="1:29" x14ac:dyDescent="0.3">
      <c r="A13" s="1">
        <v>2</v>
      </c>
      <c r="C13" s="1" t="str" cm="1">
        <f t="array" aca="1" ref="C13" ca="1">INDIRECT("RawData!A"&amp;TEXT(C$5+A13,"0"))</f>
        <v>Test1/gfortran_w_lu2.x</v>
      </c>
      <c r="D13" s="1" cm="1">
        <f t="array" aca="1" ref="D13" ca="1">INDIRECT("RawData!"&amp;ADDRESS($C$5+$A13,D$6))</f>
        <v>7.1829999999999998</v>
      </c>
      <c r="E13" s="1" cm="1">
        <f t="array" aca="1" ref="E13" ca="1">INDIRECT("RawData!"&amp;ADDRESS($C$5+$A13,E$6))</f>
        <v>0.18217</v>
      </c>
      <c r="F13" s="1" cm="1">
        <f t="array" aca="1" ref="F13" ca="1">INDIRECT("RawData!"&amp;ADDRESS($C$5+$A13,F$6))</f>
        <v>2.8799999999999999E-2</v>
      </c>
      <c r="G13" s="1" cm="1">
        <f t="array" aca="1" ref="G13" ca="1">INDIRECT("RawData!"&amp;ADDRESS($C$5+$A13,G$6))</f>
        <v>7.0170000000000003</v>
      </c>
      <c r="H13" s="1" cm="1">
        <f t="array" aca="1" ref="H13" ca="1">INDIRECT("RawData!"&amp;ADDRESS($C$5+$A13,H$6))</f>
        <v>0.15129000000000001</v>
      </c>
      <c r="I13" s="1" cm="1">
        <f t="array" aca="1" ref="I13" ca="1">INDIRECT("RawData!"&amp;ADDRESS($C$5+$A13,I$6))</f>
        <v>2.392E-2</v>
      </c>
      <c r="J13" s="1" cm="1">
        <f t="array" aca="1" ref="J13" ca="1">INDIRECT("RawData!"&amp;ADDRESS($C$5+$A13,J$6))</f>
        <v>5.423</v>
      </c>
      <c r="K13" s="1" cm="1">
        <f t="array" aca="1" ref="K13" ca="1">INDIRECT("RawData!"&amp;ADDRESS($C$5+$A13,K$6))</f>
        <v>3.7949999999999998E-2</v>
      </c>
      <c r="L13" s="1" cm="1">
        <f t="array" aca="1" ref="L13" ca="1">INDIRECT("RawData!"&amp;ADDRESS($C$5+$A13,L$6))</f>
        <v>6.0000000000000001E-3</v>
      </c>
      <c r="M13" s="1" cm="1">
        <f t="array" aca="1" ref="M13" ca="1">INDIRECT("RawData!"&amp;ADDRESS($C$5+$A13,M$6))</f>
        <v>5.415</v>
      </c>
      <c r="N13" s="1" cm="1">
        <f t="array" aca="1" ref="N13" ca="1">INDIRECT("RawData!"&amp;ADDRESS($C$5+$A13,N$6))</f>
        <v>3.2239999999999998E-2</v>
      </c>
      <c r="O13" s="1" cm="1">
        <f t="array" aca="1" ref="O13" ca="1">INDIRECT("RawData!"&amp;ADDRESS($C$5+$A13,O$6))</f>
        <v>5.1000000000000004E-3</v>
      </c>
      <c r="P13" s="1" cm="1">
        <f t="array" aca="1" ref="P13" ca="1">INDIRECT("RawData!"&amp;ADDRESS($C$5+$A13,P$6))</f>
        <v>11.587999999999999</v>
      </c>
      <c r="Q13" s="1" cm="1">
        <f t="array" aca="1" ref="Q13" ca="1">INDIRECT("RawData!"&amp;ADDRESS($C$5+$A13,Q$6))</f>
        <v>1.13829</v>
      </c>
      <c r="R13" s="1" cm="1">
        <f t="array" aca="1" ref="R13" ca="1">INDIRECT("RawData!"&amp;ADDRESS($C$5+$A13,R$6))</f>
        <v>0.17998</v>
      </c>
      <c r="S13" s="1" cm="1">
        <f t="array" aca="1" ref="S13" ca="1">INDIRECT("RawData!"&amp;ADDRESS($C$5+$A13,S$6))</f>
        <v>13.208</v>
      </c>
      <c r="T13" s="1" cm="1">
        <f t="array" aca="1" ref="T13" ca="1">INDIRECT("RawData!"&amp;ADDRESS($C$5+$A13,T$6))</f>
        <v>7.5803799999999999</v>
      </c>
      <c r="U13" s="1" cm="1">
        <f t="array" aca="1" ref="U13" ca="1">INDIRECT("RawData!"&amp;ADDRESS($C$5+$A13,U$6))</f>
        <v>1.1985600000000001</v>
      </c>
      <c r="V13" s="1" cm="1">
        <f t="array" aca="1" ref="V13" ca="1">INDIRECT("RawData!"&amp;ADDRESS($C$5+$A13,V$6))</f>
        <v>6.5259999999999998</v>
      </c>
      <c r="W13" s="1" cm="1">
        <f t="array" aca="1" ref="W13" ca="1">INDIRECT("RawData!"&amp;ADDRESS($C$5+$A13,W$6))</f>
        <v>5.4820000000000001E-2</v>
      </c>
      <c r="X13" s="1" cm="1">
        <f t="array" aca="1" ref="X13" ca="1">INDIRECT("RawData!"&amp;ADDRESS($C$5+$A13,X$6))</f>
        <v>8.6700000000000006E-3</v>
      </c>
      <c r="Y13" s="1" cm="1">
        <f t="array" aca="1" ref="Y13" ca="1">INDIRECT("RawData!"&amp;ADDRESS($C$5+$A13,Y$6))</f>
        <v>6.56</v>
      </c>
      <c r="Z13" s="1" cm="1">
        <f t="array" aca="1" ref="Z13" ca="1">INDIRECT("RawData!"&amp;ADDRESS($C$5+$A13,Z$6))</f>
        <v>0.11096</v>
      </c>
      <c r="AA13" s="1" cm="1">
        <f t="array" aca="1" ref="AA13" ca="1">INDIRECT("RawData!"&amp;ADDRESS($C$5+$A13,AA$6))</f>
        <v>1.754E-2</v>
      </c>
    </row>
    <row r="14" spans="1:29" x14ac:dyDescent="0.3">
      <c r="A14" s="1">
        <v>3</v>
      </c>
      <c r="C14" s="1" t="str" cm="1">
        <f t="array" aca="1" ref="C14" ca="1">INDIRECT("RawData!A"&amp;TEXT(C$5+A14,"0"))</f>
        <v>Test1/gfortran_w_lu2_o3.x</v>
      </c>
      <c r="D14" s="1" cm="1">
        <f t="array" aca="1" ref="D14" ca="1">INDIRECT("RawData!"&amp;ADDRESS($C$5+$A14,D$6))</f>
        <v>7.2519999999999998</v>
      </c>
      <c r="E14" s="1" cm="1">
        <f t="array" aca="1" ref="E14" ca="1">INDIRECT("RawData!"&amp;ADDRESS($C$5+$A14,E$6))</f>
        <v>0.21529000000000001</v>
      </c>
      <c r="F14" s="1" cm="1">
        <f t="array" aca="1" ref="F14" ca="1">INDIRECT("RawData!"&amp;ADDRESS($C$5+$A14,F$6))</f>
        <v>3.4040000000000001E-2</v>
      </c>
      <c r="G14" s="1" cm="1">
        <f t="array" aca="1" ref="G14" ca="1">INDIRECT("RawData!"&amp;ADDRESS($C$5+$A14,G$6))</f>
        <v>7.02</v>
      </c>
      <c r="H14" s="1" cm="1">
        <f t="array" aca="1" ref="H14" ca="1">INDIRECT("RawData!"&amp;ADDRESS($C$5+$A14,H$6))</f>
        <v>0.26996999999999999</v>
      </c>
      <c r="I14" s="1" cm="1">
        <f t="array" aca="1" ref="I14" ca="1">INDIRECT("RawData!"&amp;ADDRESS($C$5+$A14,I$6))</f>
        <v>4.2689999999999999E-2</v>
      </c>
      <c r="J14" s="1" cm="1">
        <f t="array" aca="1" ref="J14" ca="1">INDIRECT("RawData!"&amp;ADDRESS($C$5+$A14,J$6))</f>
        <v>5.4009999999999998</v>
      </c>
      <c r="K14" s="1" cm="1">
        <f t="array" aca="1" ref="K14" ca="1">INDIRECT("RawData!"&amp;ADDRESS($C$5+$A14,K$6))</f>
        <v>2.3259999999999999E-2</v>
      </c>
      <c r="L14" s="1" cm="1">
        <f t="array" aca="1" ref="L14" ca="1">INDIRECT("RawData!"&amp;ADDRESS($C$5+$A14,L$6))</f>
        <v>3.6800000000000001E-3</v>
      </c>
      <c r="M14" s="1" cm="1">
        <f t="array" aca="1" ref="M14" ca="1">INDIRECT("RawData!"&amp;ADDRESS($C$5+$A14,M$6))</f>
        <v>5.4359999999999999</v>
      </c>
      <c r="N14" s="1" cm="1">
        <f t="array" aca="1" ref="N14" ca="1">INDIRECT("RawData!"&amp;ADDRESS($C$5+$A14,N$6))</f>
        <v>3.8510000000000003E-2</v>
      </c>
      <c r="O14" s="1" cm="1">
        <f t="array" aca="1" ref="O14" ca="1">INDIRECT("RawData!"&amp;ADDRESS($C$5+$A14,O$6))</f>
        <v>6.0899999999999999E-3</v>
      </c>
      <c r="P14" s="1" cm="1">
        <f t="array" aca="1" ref="P14" ca="1">INDIRECT("RawData!"&amp;ADDRESS($C$5+$A14,P$6))</f>
        <v>11.933999999999999</v>
      </c>
      <c r="Q14" s="1" cm="1">
        <f t="array" aca="1" ref="Q14" ca="1">INDIRECT("RawData!"&amp;ADDRESS($C$5+$A14,Q$6))</f>
        <v>0.79545999999999994</v>
      </c>
      <c r="R14" s="1" cm="1">
        <f t="array" aca="1" ref="R14" ca="1">INDIRECT("RawData!"&amp;ADDRESS($C$5+$A14,R$6))</f>
        <v>0.12576999999999999</v>
      </c>
      <c r="S14" s="1" cm="1">
        <f t="array" aca="1" ref="S14" ca="1">INDIRECT("RawData!"&amp;ADDRESS($C$5+$A14,S$6))</f>
        <v>12.683</v>
      </c>
      <c r="T14" s="1" cm="1">
        <f t="array" aca="1" ref="T14" ca="1">INDIRECT("RawData!"&amp;ADDRESS($C$5+$A14,T$6))</f>
        <v>4.9643100000000002</v>
      </c>
      <c r="U14" s="1" cm="1">
        <f t="array" aca="1" ref="U14" ca="1">INDIRECT("RawData!"&amp;ADDRESS($C$5+$A14,U$6))</f>
        <v>0.78493000000000002</v>
      </c>
      <c r="V14" s="1" cm="1">
        <f t="array" aca="1" ref="V14" ca="1">INDIRECT("RawData!"&amp;ADDRESS($C$5+$A14,V$6))</f>
        <v>6.5419999999999998</v>
      </c>
      <c r="W14" s="1" cm="1">
        <f t="array" aca="1" ref="W14" ca="1">INDIRECT("RawData!"&amp;ADDRESS($C$5+$A14,W$6))</f>
        <v>3.4430000000000002E-2</v>
      </c>
      <c r="X14" s="1" cm="1">
        <f t="array" aca="1" ref="X14" ca="1">INDIRECT("RawData!"&amp;ADDRESS($C$5+$A14,X$6))</f>
        <v>5.4400000000000004E-3</v>
      </c>
      <c r="Y14" s="1" cm="1">
        <f t="array" aca="1" ref="Y14" ca="1">INDIRECT("RawData!"&amp;ADDRESS($C$5+$A14,Y$6))</f>
        <v>6.5549999999999997</v>
      </c>
      <c r="Z14" s="1" cm="1">
        <f t="array" aca="1" ref="Z14" ca="1">INDIRECT("RawData!"&amp;ADDRESS($C$5+$A14,Z$6))</f>
        <v>9.1600000000000001E-2</v>
      </c>
      <c r="AA14" s="1" cm="1">
        <f t="array" aca="1" ref="AA14" ca="1">INDIRECT("RawData!"&amp;ADDRESS($C$5+$A14,AA$6))</f>
        <v>1.448E-2</v>
      </c>
    </row>
    <row r="15" spans="1:29" x14ac:dyDescent="0.3">
      <c r="A15" s="1">
        <v>4</v>
      </c>
      <c r="C15" s="1" t="str" cm="1">
        <f t="array" aca="1" ref="C15" ca="1">INDIRECT("RawData!A"&amp;TEXT(C$5+A15,"0"))</f>
        <v>Test1/gfortran_w_lu4.x</v>
      </c>
      <c r="D15" s="1" cm="1">
        <f t="array" aca="1" ref="D15" ca="1">INDIRECT("RawData!"&amp;ADDRESS($C$5+$A15,D$6))</f>
        <v>7.0640000000000001</v>
      </c>
      <c r="E15" s="1" cm="1">
        <f t="array" aca="1" ref="E15" ca="1">INDIRECT("RawData!"&amp;ADDRESS($C$5+$A15,E$6))</f>
        <v>0.20452999999999999</v>
      </c>
      <c r="F15" s="1" cm="1">
        <f t="array" aca="1" ref="F15" ca="1">INDIRECT("RawData!"&amp;ADDRESS($C$5+$A15,F$6))</f>
        <v>3.2340000000000001E-2</v>
      </c>
      <c r="G15" s="1" cm="1">
        <f t="array" aca="1" ref="G15" ca="1">INDIRECT("RawData!"&amp;ADDRESS($C$5+$A15,G$6))</f>
        <v>6.9560000000000004</v>
      </c>
      <c r="H15" s="1" cm="1">
        <f t="array" aca="1" ref="H15" ca="1">INDIRECT("RawData!"&amp;ADDRESS($C$5+$A15,H$6))</f>
        <v>0.18159</v>
      </c>
      <c r="I15" s="1" cm="1">
        <f t="array" aca="1" ref="I15" ca="1">INDIRECT("RawData!"&amp;ADDRESS($C$5+$A15,I$6))</f>
        <v>2.8709999999999999E-2</v>
      </c>
      <c r="J15" s="1" cm="1">
        <f t="array" aca="1" ref="J15" ca="1">INDIRECT("RawData!"&amp;ADDRESS($C$5+$A15,J$6))</f>
        <v>5.4240000000000004</v>
      </c>
      <c r="K15" s="1" cm="1">
        <f t="array" aca="1" ref="K15" ca="1">INDIRECT("RawData!"&amp;ADDRESS($C$5+$A15,K$6))</f>
        <v>3.4959999999999998E-2</v>
      </c>
      <c r="L15" s="1" cm="1">
        <f t="array" aca="1" ref="L15" ca="1">INDIRECT("RawData!"&amp;ADDRESS($C$5+$A15,L$6))</f>
        <v>5.5300000000000002E-3</v>
      </c>
      <c r="M15" s="1" cm="1">
        <f t="array" aca="1" ref="M15" ca="1">INDIRECT("RawData!"&amp;ADDRESS($C$5+$A15,M$6))</f>
        <v>5.444</v>
      </c>
      <c r="N15" s="1" cm="1">
        <f t="array" aca="1" ref="N15" ca="1">INDIRECT("RawData!"&amp;ADDRESS($C$5+$A15,N$6))</f>
        <v>3.9100000000000003E-2</v>
      </c>
      <c r="O15" s="1" cm="1">
        <f t="array" aca="1" ref="O15" ca="1">INDIRECT("RawData!"&amp;ADDRESS($C$5+$A15,O$6))</f>
        <v>6.1799999999999997E-3</v>
      </c>
      <c r="P15" s="1" cm="1">
        <f t="array" aca="1" ref="P15" ca="1">INDIRECT("RawData!"&amp;ADDRESS($C$5+$A15,P$6))</f>
        <v>12.132999999999999</v>
      </c>
      <c r="Q15" s="1" cm="1">
        <f t="array" aca="1" ref="Q15" ca="1">INDIRECT("RawData!"&amp;ADDRESS($C$5+$A15,Q$6))</f>
        <v>1.18492</v>
      </c>
      <c r="R15" s="1" cm="1">
        <f t="array" aca="1" ref="R15" ca="1">INDIRECT("RawData!"&amp;ADDRESS($C$5+$A15,R$6))</f>
        <v>0.18734999999999999</v>
      </c>
      <c r="S15" s="1" cm="1">
        <f t="array" aca="1" ref="S15" ca="1">INDIRECT("RawData!"&amp;ADDRESS($C$5+$A15,S$6))</f>
        <v>12.956</v>
      </c>
      <c r="T15" s="1" cm="1">
        <f t="array" aca="1" ref="T15" ca="1">INDIRECT("RawData!"&amp;ADDRESS($C$5+$A15,T$6))</f>
        <v>4.3250799999999998</v>
      </c>
      <c r="U15" s="1" cm="1">
        <f t="array" aca="1" ref="U15" ca="1">INDIRECT("RawData!"&amp;ADDRESS($C$5+$A15,U$6))</f>
        <v>0.68386000000000002</v>
      </c>
      <c r="V15" s="1" cm="1">
        <f t="array" aca="1" ref="V15" ca="1">INDIRECT("RawData!"&amp;ADDRESS($C$5+$A15,V$6))</f>
        <v>6.5309999999999997</v>
      </c>
      <c r="W15" s="1" cm="1">
        <f t="array" aca="1" ref="W15" ca="1">INDIRECT("RawData!"&amp;ADDRESS($C$5+$A15,W$6))</f>
        <v>4.5510000000000002E-2</v>
      </c>
      <c r="X15" s="1" cm="1">
        <f t="array" aca="1" ref="X15" ca="1">INDIRECT("RawData!"&amp;ADDRESS($C$5+$A15,X$6))</f>
        <v>7.1999999999999998E-3</v>
      </c>
      <c r="Y15" s="1" cm="1">
        <f t="array" aca="1" ref="Y15" ca="1">INDIRECT("RawData!"&amp;ADDRESS($C$5+$A15,Y$6))</f>
        <v>6.5720000000000001</v>
      </c>
      <c r="Z15" s="1" cm="1">
        <f t="array" aca="1" ref="Z15" ca="1">INDIRECT("RawData!"&amp;ADDRESS($C$5+$A15,Z$6))</f>
        <v>7.4620000000000006E-2</v>
      </c>
      <c r="AA15" s="1" cm="1">
        <f t="array" aca="1" ref="AA15" ca="1">INDIRECT("RawData!"&amp;ADDRESS($C$5+$A15,AA$6))</f>
        <v>1.18E-2</v>
      </c>
    </row>
    <row r="16" spans="1:29" x14ac:dyDescent="0.3">
      <c r="A16" s="1">
        <v>5</v>
      </c>
      <c r="C16" s="1" t="str" cm="1">
        <f t="array" aca="1" ref="C16" ca="1">INDIRECT("RawData!A"&amp;TEXT(C$5+A16,"0"))</f>
        <v>Test1/gfortran_w_lu8.x</v>
      </c>
      <c r="D16" s="1" cm="1">
        <f t="array" aca="1" ref="D16" ca="1">INDIRECT("RawData!"&amp;ADDRESS($C$5+$A16,D$6))</f>
        <v>6.984</v>
      </c>
      <c r="E16" s="1" cm="1">
        <f t="array" aca="1" ref="E16" ca="1">INDIRECT("RawData!"&amp;ADDRESS($C$5+$A16,E$6))</f>
        <v>0.20938000000000001</v>
      </c>
      <c r="F16" s="1" cm="1">
        <f t="array" aca="1" ref="F16" ca="1">INDIRECT("RawData!"&amp;ADDRESS($C$5+$A16,F$6))</f>
        <v>3.3110000000000001E-2</v>
      </c>
      <c r="G16" s="1" cm="1">
        <f t="array" aca="1" ref="G16" ca="1">INDIRECT("RawData!"&amp;ADDRESS($C$5+$A16,G$6))</f>
        <v>7.0019999999999998</v>
      </c>
      <c r="H16" s="1" cm="1">
        <f t="array" aca="1" ref="H16" ca="1">INDIRECT("RawData!"&amp;ADDRESS($C$5+$A16,H$6))</f>
        <v>0.20744000000000001</v>
      </c>
      <c r="I16" s="1" cm="1">
        <f t="array" aca="1" ref="I16" ca="1">INDIRECT("RawData!"&amp;ADDRESS($C$5+$A16,I$6))</f>
        <v>3.2800000000000003E-2</v>
      </c>
      <c r="J16" s="1" cm="1">
        <f t="array" aca="1" ref="J16" ca="1">INDIRECT("RawData!"&amp;ADDRESS($C$5+$A16,J$6))</f>
        <v>5.4349999999999996</v>
      </c>
      <c r="K16" s="1" cm="1">
        <f t="array" aca="1" ref="K16" ca="1">INDIRECT("RawData!"&amp;ADDRESS($C$5+$A16,K$6))</f>
        <v>3.1620000000000002E-2</v>
      </c>
      <c r="L16" s="1" cm="1">
        <f t="array" aca="1" ref="L16" ca="1">INDIRECT("RawData!"&amp;ADDRESS($C$5+$A16,L$6))</f>
        <v>5.0000000000000001E-3</v>
      </c>
      <c r="M16" s="1" cm="1">
        <f t="array" aca="1" ref="M16" ca="1">INDIRECT("RawData!"&amp;ADDRESS($C$5+$A16,M$6))</f>
        <v>5.4119999999999999</v>
      </c>
      <c r="N16" s="1" cm="1">
        <f t="array" aca="1" ref="N16" ca="1">INDIRECT("RawData!"&amp;ADDRESS($C$5+$A16,N$6))</f>
        <v>3.397E-2</v>
      </c>
      <c r="O16" s="1" cm="1">
        <f t="array" aca="1" ref="O16" ca="1">INDIRECT("RawData!"&amp;ADDRESS($C$5+$A16,O$6))</f>
        <v>5.3699999999999998E-3</v>
      </c>
      <c r="P16" s="1" cm="1">
        <f t="array" aca="1" ref="P16" ca="1">INDIRECT("RawData!"&amp;ADDRESS($C$5+$A16,P$6))</f>
        <v>12.467000000000001</v>
      </c>
      <c r="Q16" s="1" cm="1">
        <f t="array" aca="1" ref="Q16" ca="1">INDIRECT("RawData!"&amp;ADDRESS($C$5+$A16,Q$6))</f>
        <v>1.32107</v>
      </c>
      <c r="R16" s="1" cm="1">
        <f t="array" aca="1" ref="R16" ca="1">INDIRECT("RawData!"&amp;ADDRESS($C$5+$A16,R$6))</f>
        <v>0.20888000000000001</v>
      </c>
      <c r="S16" s="1" cm="1">
        <f t="array" aca="1" ref="S16" ca="1">INDIRECT("RawData!"&amp;ADDRESS($C$5+$A16,S$6))</f>
        <v>12.302</v>
      </c>
      <c r="T16" s="1" cm="1">
        <f t="array" aca="1" ref="T16" ca="1">INDIRECT("RawData!"&amp;ADDRESS($C$5+$A16,T$6))</f>
        <v>1.8049299999999999</v>
      </c>
      <c r="U16" s="1" cm="1">
        <f t="array" aca="1" ref="U16" ca="1">INDIRECT("RawData!"&amp;ADDRESS($C$5+$A16,U$6))</f>
        <v>0.28538000000000002</v>
      </c>
      <c r="V16" s="1" cm="1">
        <f t="array" aca="1" ref="V16" ca="1">INDIRECT("RawData!"&amp;ADDRESS($C$5+$A16,V$6))</f>
        <v>6.5119999999999996</v>
      </c>
      <c r="W16" s="1" cm="1">
        <f t="array" aca="1" ref="W16" ca="1">INDIRECT("RawData!"&amp;ADDRESS($C$5+$A16,W$6))</f>
        <v>5.3920000000000003E-2</v>
      </c>
      <c r="X16" s="1" cm="1">
        <f t="array" aca="1" ref="X16" ca="1">INDIRECT("RawData!"&amp;ADDRESS($C$5+$A16,X$6))</f>
        <v>8.5299999999999994E-3</v>
      </c>
      <c r="Y16" s="1" cm="1">
        <f t="array" aca="1" ref="Y16" ca="1">INDIRECT("RawData!"&amp;ADDRESS($C$5+$A16,Y$6))</f>
        <v>6.5620000000000003</v>
      </c>
      <c r="Z16" s="1" cm="1">
        <f t="array" aca="1" ref="Z16" ca="1">INDIRECT("RawData!"&amp;ADDRESS($C$5+$A16,Z$6))</f>
        <v>0.10147</v>
      </c>
      <c r="AA16" s="1" cm="1">
        <f t="array" aca="1" ref="AA16" ca="1">INDIRECT("RawData!"&amp;ADDRESS($C$5+$A16,AA$6))</f>
        <v>1.6039999999999999E-2</v>
      </c>
    </row>
    <row r="17" spans="1:27" x14ac:dyDescent="0.3">
      <c r="A17" s="1">
        <v>6</v>
      </c>
      <c r="C17" s="1" t="str" cm="1">
        <f t="array" aca="1" ref="C17" ca="1">INDIRECT("RawData!A"&amp;TEXT(C$5+A17,"0"))</f>
        <v>Test1/ifx.x</v>
      </c>
      <c r="D17" s="1" cm="1">
        <f t="array" aca="1" ref="D17" ca="1">INDIRECT("RawData!"&amp;ADDRESS($C$5+$A17,D$6))</f>
        <v>6.8</v>
      </c>
      <c r="E17" s="1" cm="1">
        <f t="array" aca="1" ref="E17" ca="1">INDIRECT("RawData!"&amp;ADDRESS($C$5+$A17,E$6))</f>
        <v>0.56386999999999998</v>
      </c>
      <c r="F17" s="1" cm="1">
        <f t="array" aca="1" ref="F17" ca="1">INDIRECT("RawData!"&amp;ADDRESS($C$5+$A17,F$6))</f>
        <v>8.9160000000000003E-2</v>
      </c>
      <c r="G17" s="1" cm="1">
        <f t="array" aca="1" ref="G17" ca="1">INDIRECT("RawData!"&amp;ADDRESS($C$5+$A17,G$6))</f>
        <v>4.2</v>
      </c>
      <c r="H17" s="1" cm="1">
        <f t="array" aca="1" ref="H17" ca="1">INDIRECT("RawData!"&amp;ADDRESS($C$5+$A17,H$6))</f>
        <v>0.68686999999999998</v>
      </c>
      <c r="I17" s="1" cm="1">
        <f t="array" aca="1" ref="I17" ca="1">INDIRECT("RawData!"&amp;ADDRESS($C$5+$A17,I$6))</f>
        <v>0.1086</v>
      </c>
      <c r="J17" s="1" cm="1">
        <f t="array" aca="1" ref="J17" ca="1">INDIRECT("RawData!"&amp;ADDRESS($C$5+$A17,J$6))</f>
        <v>5.4020000000000001</v>
      </c>
      <c r="K17" s="1" cm="1">
        <f t="array" aca="1" ref="K17" ca="1">INDIRECT("RawData!"&amp;ADDRESS($C$5+$A17,K$6))</f>
        <v>2.1059999999999999E-2</v>
      </c>
      <c r="L17" s="1" cm="1">
        <f t="array" aca="1" ref="L17" ca="1">INDIRECT("RawData!"&amp;ADDRESS($C$5+$A17,L$6))</f>
        <v>3.3300000000000001E-3</v>
      </c>
      <c r="M17" s="1" cm="1">
        <f t="array" aca="1" ref="M17" ca="1">INDIRECT("RawData!"&amp;ADDRESS($C$5+$A17,M$6))</f>
        <v>1.92</v>
      </c>
      <c r="N17" s="1" cm="1">
        <f t="array" aca="1" ref="N17" ca="1">INDIRECT("RawData!"&amp;ADDRESS($C$5+$A17,N$6))</f>
        <v>0.12509999999999999</v>
      </c>
      <c r="O17" s="1" cm="1">
        <f t="array" aca="1" ref="O17" ca="1">INDIRECT("RawData!"&amp;ADDRESS($C$5+$A17,O$6))</f>
        <v>1.9779999999999999E-2</v>
      </c>
      <c r="P17" s="1" cm="1">
        <f t="array" aca="1" ref="P17" ca="1">INDIRECT("RawData!"&amp;ADDRESS($C$5+$A17,P$6))</f>
        <v>0</v>
      </c>
      <c r="Q17" s="1" cm="1">
        <f t="array" aca="1" ref="Q17" ca="1">INDIRECT("RawData!"&amp;ADDRESS($C$5+$A17,Q$6))</f>
        <v>0</v>
      </c>
      <c r="R17" s="1" cm="1">
        <f t="array" aca="1" ref="R17" ca="1">INDIRECT("RawData!"&amp;ADDRESS($C$5+$A17,R$6))</f>
        <v>0</v>
      </c>
      <c r="S17" s="1" cm="1">
        <f t="array" aca="1" ref="S17" ca="1">INDIRECT("RawData!"&amp;ADDRESS($C$5+$A17,S$6))</f>
        <v>0</v>
      </c>
      <c r="T17" s="1" cm="1">
        <f t="array" aca="1" ref="T17" ca="1">INDIRECT("RawData!"&amp;ADDRESS($C$5+$A17,T$6))</f>
        <v>0</v>
      </c>
      <c r="U17" s="1" cm="1">
        <f t="array" aca="1" ref="U17" ca="1">INDIRECT("RawData!"&amp;ADDRESS($C$5+$A17,U$6))</f>
        <v>0</v>
      </c>
      <c r="V17" s="1" cm="1">
        <f t="array" aca="1" ref="V17" ca="1">INDIRECT("RawData!"&amp;ADDRESS($C$5+$A17,V$6))</f>
        <v>6.5439999999999996</v>
      </c>
      <c r="W17" s="1" cm="1">
        <f t="array" aca="1" ref="W17" ca="1">INDIRECT("RawData!"&amp;ADDRESS($C$5+$A17,W$6))</f>
        <v>6.3549999999999995E-2</v>
      </c>
      <c r="X17" s="1" cm="1">
        <f t="array" aca="1" ref="X17" ca="1">INDIRECT("RawData!"&amp;ADDRESS($C$5+$A17,X$6))</f>
        <v>1.005E-2</v>
      </c>
      <c r="Y17" s="1" cm="1">
        <f t="array" aca="1" ref="Y17" ca="1">INDIRECT("RawData!"&amp;ADDRESS($C$5+$A17,Y$6))</f>
        <v>4.6420000000000003</v>
      </c>
      <c r="Z17" s="1" cm="1">
        <f t="array" aca="1" ref="Z17" ca="1">INDIRECT("RawData!"&amp;ADDRESS($C$5+$A17,Z$6))</f>
        <v>7.2840000000000002E-2</v>
      </c>
      <c r="AA17" s="1" cm="1">
        <f t="array" aca="1" ref="AA17" ca="1">INDIRECT("RawData!"&amp;ADDRESS($C$5+$A17,AA$6))</f>
        <v>1.1520000000000001E-2</v>
      </c>
    </row>
    <row r="18" spans="1:27" x14ac:dyDescent="0.3">
      <c r="A18" s="1">
        <v>7</v>
      </c>
      <c r="C18" s="1" t="str" cm="1">
        <f t="array" aca="1" ref="C18" ca="1">INDIRECT("RawData!A"&amp;TEXT(C$5+A18,"0"))</f>
        <v>Test1/ifx_o3.x</v>
      </c>
      <c r="D18" s="1" cm="1">
        <f t="array" aca="1" ref="D18" ca="1">INDIRECT("RawData!"&amp;ADDRESS($C$5+$A18,D$6))</f>
        <v>7.0250000000000004</v>
      </c>
      <c r="E18" s="1" cm="1">
        <f t="array" aca="1" ref="E18" ca="1">INDIRECT("RawData!"&amp;ADDRESS($C$5+$A18,E$6))</f>
        <v>0.94699</v>
      </c>
      <c r="F18" s="1" cm="1">
        <f t="array" aca="1" ref="F18" ca="1">INDIRECT("RawData!"&amp;ADDRESS($C$5+$A18,F$6))</f>
        <v>0.14973</v>
      </c>
      <c r="G18" s="1" cm="1">
        <f t="array" aca="1" ref="G18" ca="1">INDIRECT("RawData!"&amp;ADDRESS($C$5+$A18,G$6))</f>
        <v>4.0250000000000004</v>
      </c>
      <c r="H18" s="1" cm="1">
        <f t="array" aca="1" ref="H18" ca="1">INDIRECT("RawData!"&amp;ADDRESS($C$5+$A18,H$6))</f>
        <v>1.31046</v>
      </c>
      <c r="I18" s="1" cm="1">
        <f t="array" aca="1" ref="I18" ca="1">INDIRECT("RawData!"&amp;ADDRESS($C$5+$A18,I$6))</f>
        <v>0.2072</v>
      </c>
      <c r="J18" s="1" cm="1">
        <f t="array" aca="1" ref="J18" ca="1">INDIRECT("RawData!"&amp;ADDRESS($C$5+$A18,J$6))</f>
        <v>5.4240000000000004</v>
      </c>
      <c r="K18" s="1" cm="1">
        <f t="array" aca="1" ref="K18" ca="1">INDIRECT("RawData!"&amp;ADDRESS($C$5+$A18,K$6))</f>
        <v>2.775E-2</v>
      </c>
      <c r="L18" s="1" cm="1">
        <f t="array" aca="1" ref="L18" ca="1">INDIRECT("RawData!"&amp;ADDRESS($C$5+$A18,L$6))</f>
        <v>4.3899999999999998E-3</v>
      </c>
      <c r="M18" s="1" cm="1">
        <f t="array" aca="1" ref="M18" ca="1">INDIRECT("RawData!"&amp;ADDRESS($C$5+$A18,M$6))</f>
        <v>1.9750000000000001</v>
      </c>
      <c r="N18" s="1" cm="1">
        <f t="array" aca="1" ref="N18" ca="1">INDIRECT("RawData!"&amp;ADDRESS($C$5+$A18,N$6))</f>
        <v>0.10859000000000001</v>
      </c>
      <c r="O18" s="1" cm="1">
        <f t="array" aca="1" ref="O18" ca="1">INDIRECT("RawData!"&amp;ADDRESS($C$5+$A18,O$6))</f>
        <v>1.7170000000000001E-2</v>
      </c>
      <c r="P18" s="1" cm="1">
        <f t="array" aca="1" ref="P18" ca="1">INDIRECT("RawData!"&amp;ADDRESS($C$5+$A18,P$6))</f>
        <v>0</v>
      </c>
      <c r="Q18" s="1" cm="1">
        <f t="array" aca="1" ref="Q18" ca="1">INDIRECT("RawData!"&amp;ADDRESS($C$5+$A18,Q$6))</f>
        <v>0</v>
      </c>
      <c r="R18" s="1" cm="1">
        <f t="array" aca="1" ref="R18" ca="1">INDIRECT("RawData!"&amp;ADDRESS($C$5+$A18,R$6))</f>
        <v>0</v>
      </c>
      <c r="S18" s="1" cm="1">
        <f t="array" aca="1" ref="S18" ca="1">INDIRECT("RawData!"&amp;ADDRESS($C$5+$A18,S$6))</f>
        <v>0</v>
      </c>
      <c r="T18" s="1" cm="1">
        <f t="array" aca="1" ref="T18" ca="1">INDIRECT("RawData!"&amp;ADDRESS($C$5+$A18,T$6))</f>
        <v>0</v>
      </c>
      <c r="U18" s="1" cm="1">
        <f t="array" aca="1" ref="U18" ca="1">INDIRECT("RawData!"&amp;ADDRESS($C$5+$A18,U$6))</f>
        <v>0</v>
      </c>
      <c r="V18" s="1" cm="1">
        <f t="array" aca="1" ref="V18" ca="1">INDIRECT("RawData!"&amp;ADDRESS($C$5+$A18,V$6))</f>
        <v>6.5739999999999998</v>
      </c>
      <c r="W18" s="1" cm="1">
        <f t="array" aca="1" ref="W18" ca="1">INDIRECT("RawData!"&amp;ADDRESS($C$5+$A18,W$6))</f>
        <v>5.8529999999999999E-2</v>
      </c>
      <c r="X18" s="1" cm="1">
        <f t="array" aca="1" ref="X18" ca="1">INDIRECT("RawData!"&amp;ADDRESS($C$5+$A18,X$6))</f>
        <v>9.2499999999999995E-3</v>
      </c>
      <c r="Y18" s="1" cm="1">
        <f t="array" aca="1" ref="Y18" ca="1">INDIRECT("RawData!"&amp;ADDRESS($C$5+$A18,Y$6))</f>
        <v>4.6520000000000001</v>
      </c>
      <c r="Z18" s="1" cm="1">
        <f t="array" aca="1" ref="Z18" ca="1">INDIRECT("RawData!"&amp;ADDRESS($C$5+$A18,Z$6))</f>
        <v>7.2370000000000004E-2</v>
      </c>
      <c r="AA18" s="1" cm="1">
        <f t="array" aca="1" ref="AA18" ca="1">INDIRECT("RawData!"&amp;ADDRESS($C$5+$A18,AA$6))</f>
        <v>1.1440000000000001E-2</v>
      </c>
    </row>
    <row r="19" spans="1:27" x14ac:dyDescent="0.3">
      <c r="A19" s="1">
        <v>8</v>
      </c>
      <c r="C19" s="1" t="str" cm="1">
        <f t="array" aca="1" ref="C19" ca="1">INDIRECT("RawData!A"&amp;TEXT(C$5+A19,"0"))</f>
        <v>Test1/ifx_w_lu2.x</v>
      </c>
      <c r="D19" s="1" cm="1">
        <f t="array" aca="1" ref="D19" ca="1">INDIRECT("RawData!"&amp;ADDRESS($C$5+$A19,D$6))</f>
        <v>7.0250000000000004</v>
      </c>
      <c r="E19" s="1" cm="1">
        <f t="array" aca="1" ref="E19" ca="1">INDIRECT("RawData!"&amp;ADDRESS($C$5+$A19,E$6))</f>
        <v>1.18727</v>
      </c>
      <c r="F19" s="1" cm="1">
        <f t="array" aca="1" ref="F19" ca="1">INDIRECT("RawData!"&amp;ADDRESS($C$5+$A19,F$6))</f>
        <v>0.18772</v>
      </c>
      <c r="G19" s="1" cm="1">
        <f t="array" aca="1" ref="G19" ca="1">INDIRECT("RawData!"&amp;ADDRESS($C$5+$A19,G$6))</f>
        <v>4.3250000000000002</v>
      </c>
      <c r="H19" s="1" cm="1">
        <f t="array" aca="1" ref="H19" ca="1">INDIRECT("RawData!"&amp;ADDRESS($C$5+$A19,H$6))</f>
        <v>0.72985999999999995</v>
      </c>
      <c r="I19" s="1" cm="1">
        <f t="array" aca="1" ref="I19" ca="1">INDIRECT("RawData!"&amp;ADDRESS($C$5+$A19,I$6))</f>
        <v>0.1154</v>
      </c>
      <c r="J19" s="1" cm="1">
        <f t="array" aca="1" ref="J19" ca="1">INDIRECT("RawData!"&amp;ADDRESS($C$5+$A19,J$6))</f>
        <v>5.4059999999999997</v>
      </c>
      <c r="K19" s="1" cm="1">
        <f t="array" aca="1" ref="K19" ca="1">INDIRECT("RawData!"&amp;ADDRESS($C$5+$A19,K$6))</f>
        <v>2.4400000000000002E-2</v>
      </c>
      <c r="L19" s="1" cm="1">
        <f t="array" aca="1" ref="L19" ca="1">INDIRECT("RawData!"&amp;ADDRESS($C$5+$A19,L$6))</f>
        <v>3.8600000000000001E-3</v>
      </c>
      <c r="M19" s="1" cm="1">
        <f t="array" aca="1" ref="M19" ca="1">INDIRECT("RawData!"&amp;ADDRESS($C$5+$A19,M$6))</f>
        <v>1.9710000000000001</v>
      </c>
      <c r="N19" s="1" cm="1">
        <f t="array" aca="1" ref="N19" ca="1">INDIRECT("RawData!"&amp;ADDRESS($C$5+$A19,N$6))</f>
        <v>0.11260000000000001</v>
      </c>
      <c r="O19" s="1" cm="1">
        <f t="array" aca="1" ref="O19" ca="1">INDIRECT("RawData!"&amp;ADDRESS($C$5+$A19,O$6))</f>
        <v>1.78E-2</v>
      </c>
      <c r="P19" s="1" cm="1">
        <f t="array" aca="1" ref="P19" ca="1">INDIRECT("RawData!"&amp;ADDRESS($C$5+$A19,P$6))</f>
        <v>0</v>
      </c>
      <c r="Q19" s="1" cm="1">
        <f t="array" aca="1" ref="Q19" ca="1">INDIRECT("RawData!"&amp;ADDRESS($C$5+$A19,Q$6))</f>
        <v>0</v>
      </c>
      <c r="R19" s="1" cm="1">
        <f t="array" aca="1" ref="R19" ca="1">INDIRECT("RawData!"&amp;ADDRESS($C$5+$A19,R$6))</f>
        <v>0</v>
      </c>
      <c r="S19" s="1" cm="1">
        <f t="array" aca="1" ref="S19" ca="1">INDIRECT("RawData!"&amp;ADDRESS($C$5+$A19,S$6))</f>
        <v>0</v>
      </c>
      <c r="T19" s="1" cm="1">
        <f t="array" aca="1" ref="T19" ca="1">INDIRECT("RawData!"&amp;ADDRESS($C$5+$A19,T$6))</f>
        <v>0</v>
      </c>
      <c r="U19" s="1" cm="1">
        <f t="array" aca="1" ref="U19" ca="1">INDIRECT("RawData!"&amp;ADDRESS($C$5+$A19,U$6))</f>
        <v>0</v>
      </c>
      <c r="V19" s="1" cm="1">
        <f t="array" aca="1" ref="V19" ca="1">INDIRECT("RawData!"&amp;ADDRESS($C$5+$A19,V$6))</f>
        <v>6.5430000000000001</v>
      </c>
      <c r="W19" s="1" cm="1">
        <f t="array" aca="1" ref="W19" ca="1">INDIRECT("RawData!"&amp;ADDRESS($C$5+$A19,W$6))</f>
        <v>5.4030000000000002E-2</v>
      </c>
      <c r="X19" s="1" cm="1">
        <f t="array" aca="1" ref="X19" ca="1">INDIRECT("RawData!"&amp;ADDRESS($C$5+$A19,X$6))</f>
        <v>8.5400000000000007E-3</v>
      </c>
      <c r="Y19" s="1" cm="1">
        <f t="array" aca="1" ref="Y19" ca="1">INDIRECT("RawData!"&amp;ADDRESS($C$5+$A19,Y$6))</f>
        <v>4.641</v>
      </c>
      <c r="Z19" s="1" cm="1">
        <f t="array" aca="1" ref="Z19" ca="1">INDIRECT("RawData!"&amp;ADDRESS($C$5+$A19,Z$6))</f>
        <v>8.8020000000000001E-2</v>
      </c>
      <c r="AA19" s="1" cm="1">
        <f t="array" aca="1" ref="AA19" ca="1">INDIRECT("RawData!"&amp;ADDRESS($C$5+$A19,AA$6))</f>
        <v>1.392E-2</v>
      </c>
    </row>
    <row r="20" spans="1:27" x14ac:dyDescent="0.3">
      <c r="A20" s="1">
        <v>9</v>
      </c>
      <c r="C20" s="1" t="str" cm="1">
        <f t="array" aca="1" ref="C20" ca="1">INDIRECT("RawData!A"&amp;TEXT(C$5+A20,"0"))</f>
        <v>Test1/ifx_w_lu2_o3.x</v>
      </c>
      <c r="D20" s="1" cm="1">
        <f t="array" aca="1" ref="D20" ca="1">INDIRECT("RawData!"&amp;ADDRESS($C$5+$A20,D$6))</f>
        <v>7.1749999999999998</v>
      </c>
      <c r="E20" s="1" cm="1">
        <f t="array" aca="1" ref="E20" ca="1">INDIRECT("RawData!"&amp;ADDRESS($C$5+$A20,E$6))</f>
        <v>1.05945</v>
      </c>
      <c r="F20" s="1" cm="1">
        <f t="array" aca="1" ref="F20" ca="1">INDIRECT("RawData!"&amp;ADDRESS($C$5+$A20,F$6))</f>
        <v>0.16750999999999999</v>
      </c>
      <c r="G20" s="1" cm="1">
        <f t="array" aca="1" ref="G20" ca="1">INDIRECT("RawData!"&amp;ADDRESS($C$5+$A20,G$6))</f>
        <v>4.2249999999999996</v>
      </c>
      <c r="H20" s="1" cm="1">
        <f t="array" aca="1" ref="H20" ca="1">INDIRECT("RawData!"&amp;ADDRESS($C$5+$A20,H$6))</f>
        <v>0.61965999999999999</v>
      </c>
      <c r="I20" s="1" cm="1">
        <f t="array" aca="1" ref="I20" ca="1">INDIRECT("RawData!"&amp;ADDRESS($C$5+$A20,I$6))</f>
        <v>9.7979999999999998E-2</v>
      </c>
      <c r="J20" s="1" cm="1">
        <f t="array" aca="1" ref="J20" ca="1">INDIRECT("RawData!"&amp;ADDRESS($C$5+$A20,J$6))</f>
        <v>5.4119999999999999</v>
      </c>
      <c r="K20" s="1" cm="1">
        <f t="array" aca="1" ref="K20" ca="1">INDIRECT("RawData!"&amp;ADDRESS($C$5+$A20,K$6))</f>
        <v>3.0210000000000001E-2</v>
      </c>
      <c r="L20" s="1" cm="1">
        <f t="array" aca="1" ref="L20" ca="1">INDIRECT("RawData!"&amp;ADDRESS($C$5+$A20,L$6))</f>
        <v>4.7800000000000004E-3</v>
      </c>
      <c r="M20" s="1" cm="1">
        <f t="array" aca="1" ref="M20" ca="1">INDIRECT("RawData!"&amp;ADDRESS($C$5+$A20,M$6))</f>
        <v>2.0150000000000001</v>
      </c>
      <c r="N20" s="1" cm="1">
        <f t="array" aca="1" ref="N20" ca="1">INDIRECT("RawData!"&amp;ADDRESS($C$5+$A20,N$6))</f>
        <v>0.12278</v>
      </c>
      <c r="O20" s="1" cm="1">
        <f t="array" aca="1" ref="O20" ca="1">INDIRECT("RawData!"&amp;ADDRESS($C$5+$A20,O$6))</f>
        <v>1.941E-2</v>
      </c>
      <c r="P20" s="1" cm="1">
        <f t="array" aca="1" ref="P20" ca="1">INDIRECT("RawData!"&amp;ADDRESS($C$5+$A20,P$6))</f>
        <v>0</v>
      </c>
      <c r="Q20" s="1" cm="1">
        <f t="array" aca="1" ref="Q20" ca="1">INDIRECT("RawData!"&amp;ADDRESS($C$5+$A20,Q$6))</f>
        <v>0</v>
      </c>
      <c r="R20" s="1" cm="1">
        <f t="array" aca="1" ref="R20" ca="1">INDIRECT("RawData!"&amp;ADDRESS($C$5+$A20,R$6))</f>
        <v>0</v>
      </c>
      <c r="S20" s="1" cm="1">
        <f t="array" aca="1" ref="S20" ca="1">INDIRECT("RawData!"&amp;ADDRESS($C$5+$A20,S$6))</f>
        <v>0</v>
      </c>
      <c r="T20" s="1" cm="1">
        <f t="array" aca="1" ref="T20" ca="1">INDIRECT("RawData!"&amp;ADDRESS($C$5+$A20,T$6))</f>
        <v>0</v>
      </c>
      <c r="U20" s="1" cm="1">
        <f t="array" aca="1" ref="U20" ca="1">INDIRECT("RawData!"&amp;ADDRESS($C$5+$A20,U$6))</f>
        <v>0</v>
      </c>
      <c r="V20" s="1" cm="1">
        <f t="array" aca="1" ref="V20" ca="1">INDIRECT("RawData!"&amp;ADDRESS($C$5+$A20,V$6))</f>
        <v>6.5129999999999999</v>
      </c>
      <c r="W20" s="1" cm="1">
        <f t="array" aca="1" ref="W20" ca="1">INDIRECT("RawData!"&amp;ADDRESS($C$5+$A20,W$6))</f>
        <v>5.7619999999999998E-2</v>
      </c>
      <c r="X20" s="1" cm="1">
        <f t="array" aca="1" ref="X20" ca="1">INDIRECT("RawData!"&amp;ADDRESS($C$5+$A20,X$6))</f>
        <v>9.11E-3</v>
      </c>
      <c r="Y20" s="1" cm="1">
        <f t="array" aca="1" ref="Y20" ca="1">INDIRECT("RawData!"&amp;ADDRESS($C$5+$A20,Y$6))</f>
        <v>4.6310000000000002</v>
      </c>
      <c r="Z20" s="1" cm="1">
        <f t="array" aca="1" ref="Z20" ca="1">INDIRECT("RawData!"&amp;ADDRESS($C$5+$A20,Z$6))</f>
        <v>9.1060000000000002E-2</v>
      </c>
      <c r="AA20" s="1" cm="1">
        <f t="array" aca="1" ref="AA20" ca="1">INDIRECT("RawData!"&amp;ADDRESS($C$5+$A20,AA$6))</f>
        <v>1.44E-2</v>
      </c>
    </row>
    <row r="21" spans="1:27" x14ac:dyDescent="0.3">
      <c r="A21" s="1">
        <v>10</v>
      </c>
      <c r="C21" s="1" t="str" cm="1">
        <f t="array" aca="1" ref="C21" ca="1">INDIRECT("RawData!A"&amp;TEXT(C$5+A21,"0"))</f>
        <v>Test1/ifx_w_lu4.x</v>
      </c>
      <c r="D21" s="1" cm="1">
        <f t="array" aca="1" ref="D21" ca="1">INDIRECT("RawData!"&amp;ADDRESS($C$5+$A21,D$6))</f>
        <v>6.95</v>
      </c>
      <c r="E21" s="1" cm="1">
        <f t="array" aca="1" ref="E21" ca="1">INDIRECT("RawData!"&amp;ADDRESS($C$5+$A21,E$6))</f>
        <v>0.78283000000000003</v>
      </c>
      <c r="F21" s="1" cm="1">
        <f t="array" aca="1" ref="F21" ca="1">INDIRECT("RawData!"&amp;ADDRESS($C$5+$A21,F$6))</f>
        <v>0.12378</v>
      </c>
      <c r="G21" s="1" cm="1">
        <f t="array" aca="1" ref="G21" ca="1">INDIRECT("RawData!"&amp;ADDRESS($C$5+$A21,G$6))</f>
        <v>3.9750000000000001</v>
      </c>
      <c r="H21" s="1" cm="1">
        <f t="array" aca="1" ref="H21" ca="1">INDIRECT("RawData!"&amp;ADDRESS($C$5+$A21,H$6))</f>
        <v>0.73336000000000001</v>
      </c>
      <c r="I21" s="1" cm="1">
        <f t="array" aca="1" ref="I21" ca="1">INDIRECT("RawData!"&amp;ADDRESS($C$5+$A21,I$6))</f>
        <v>0.11595</v>
      </c>
      <c r="J21" s="1" cm="1">
        <f t="array" aca="1" ref="J21" ca="1">INDIRECT("RawData!"&amp;ADDRESS($C$5+$A21,J$6))</f>
        <v>5.3949999999999996</v>
      </c>
      <c r="K21" s="1" cm="1">
        <f t="array" aca="1" ref="K21" ca="1">INDIRECT("RawData!"&amp;ADDRESS($C$5+$A21,K$6))</f>
        <v>1.4999999999999999E-2</v>
      </c>
      <c r="L21" s="1" cm="1">
        <f t="array" aca="1" ref="L21" ca="1">INDIRECT("RawData!"&amp;ADDRESS($C$5+$A21,L$6))</f>
        <v>2.3700000000000001E-3</v>
      </c>
      <c r="M21" s="1" cm="1">
        <f t="array" aca="1" ref="M21" ca="1">INDIRECT("RawData!"&amp;ADDRESS($C$5+$A21,M$6))</f>
        <v>1.9550000000000001</v>
      </c>
      <c r="N21" s="1" cm="1">
        <f t="array" aca="1" ref="N21" ca="1">INDIRECT("RawData!"&amp;ADDRESS($C$5+$A21,N$6))</f>
        <v>0.12817000000000001</v>
      </c>
      <c r="O21" s="1" cm="1">
        <f t="array" aca="1" ref="O21" ca="1">INDIRECT("RawData!"&amp;ADDRESS($C$5+$A21,O$6))</f>
        <v>2.027E-2</v>
      </c>
      <c r="P21" s="1" cm="1">
        <f t="array" aca="1" ref="P21" ca="1">INDIRECT("RawData!"&amp;ADDRESS($C$5+$A21,P$6))</f>
        <v>0</v>
      </c>
      <c r="Q21" s="1" cm="1">
        <f t="array" aca="1" ref="Q21" ca="1">INDIRECT("RawData!"&amp;ADDRESS($C$5+$A21,Q$6))</f>
        <v>0</v>
      </c>
      <c r="R21" s="1" cm="1">
        <f t="array" aca="1" ref="R21" ca="1">INDIRECT("RawData!"&amp;ADDRESS($C$5+$A21,R$6))</f>
        <v>0</v>
      </c>
      <c r="S21" s="1" cm="1">
        <f t="array" aca="1" ref="S21" ca="1">INDIRECT("RawData!"&amp;ADDRESS($C$5+$A21,S$6))</f>
        <v>0</v>
      </c>
      <c r="T21" s="1" cm="1">
        <f t="array" aca="1" ref="T21" ca="1">INDIRECT("RawData!"&amp;ADDRESS($C$5+$A21,T$6))</f>
        <v>0</v>
      </c>
      <c r="U21" s="1" cm="1">
        <f t="array" aca="1" ref="U21" ca="1">INDIRECT("RawData!"&amp;ADDRESS($C$5+$A21,U$6))</f>
        <v>0</v>
      </c>
      <c r="V21" s="1" cm="1">
        <f t="array" aca="1" ref="V21" ca="1">INDIRECT("RawData!"&amp;ADDRESS($C$5+$A21,V$6))</f>
        <v>6.5209999999999999</v>
      </c>
      <c r="W21" s="1" cm="1">
        <f t="array" aca="1" ref="W21" ca="1">INDIRECT("RawData!"&amp;ADDRESS($C$5+$A21,W$6))</f>
        <v>6.0130000000000003E-2</v>
      </c>
      <c r="X21" s="1" cm="1">
        <f t="array" aca="1" ref="X21" ca="1">INDIRECT("RawData!"&amp;ADDRESS($C$5+$A21,X$6))</f>
        <v>9.5099999999999994E-3</v>
      </c>
      <c r="Y21" s="1" cm="1">
        <f t="array" aca="1" ref="Y21" ca="1">INDIRECT("RawData!"&amp;ADDRESS($C$5+$A21,Y$6))</f>
        <v>4.6189999999999998</v>
      </c>
      <c r="Z21" s="1" cm="1">
        <f t="array" aca="1" ref="Z21" ca="1">INDIRECT("RawData!"&amp;ADDRESS($C$5+$A21,Z$6))</f>
        <v>5.2839999999999998E-2</v>
      </c>
      <c r="AA21" s="1" cm="1">
        <f t="array" aca="1" ref="AA21" ca="1">INDIRECT("RawData!"&amp;ADDRESS($C$5+$A21,AA$6))</f>
        <v>8.3499999999999998E-3</v>
      </c>
    </row>
    <row r="22" spans="1:27" x14ac:dyDescent="0.3">
      <c r="A22" s="1">
        <v>11</v>
      </c>
      <c r="C22" s="1" t="str" cm="1">
        <f t="array" aca="1" ref="C22" ca="1">INDIRECT("RawData!A"&amp;TEXT(C$5+A22,"0"))</f>
        <v>Test1/ifx_w_lu8.x</v>
      </c>
      <c r="D22" s="1" cm="1">
        <f t="array" aca="1" ref="D22" ca="1">INDIRECT("RawData!"&amp;ADDRESS($C$5+$A22,D$6))</f>
        <v>6.9249999999999998</v>
      </c>
      <c r="E22" s="1" cm="1">
        <f t="array" aca="1" ref="E22" ca="1">INDIRECT("RawData!"&amp;ADDRESS($C$5+$A22,E$6))</f>
        <v>0.57233000000000001</v>
      </c>
      <c r="F22" s="1" cm="1">
        <f t="array" aca="1" ref="F22" ca="1">INDIRECT("RawData!"&amp;ADDRESS($C$5+$A22,F$6))</f>
        <v>9.0490000000000001E-2</v>
      </c>
      <c r="G22" s="1" cm="1">
        <f t="array" aca="1" ref="G22" ca="1">INDIRECT("RawData!"&amp;ADDRESS($C$5+$A22,G$6))</f>
        <v>4.2750000000000004</v>
      </c>
      <c r="H22" s="1" cm="1">
        <f t="array" aca="1" ref="H22" ca="1">INDIRECT("RawData!"&amp;ADDRESS($C$5+$A22,H$6))</f>
        <v>0.96043999999999996</v>
      </c>
      <c r="I22" s="1" cm="1">
        <f t="array" aca="1" ref="I22" ca="1">INDIRECT("RawData!"&amp;ADDRESS($C$5+$A22,I$6))</f>
        <v>0.15185999999999999</v>
      </c>
      <c r="J22" s="1" cm="1">
        <f t="array" aca="1" ref="J22" ca="1">INDIRECT("RawData!"&amp;ADDRESS($C$5+$A22,J$6))</f>
        <v>5.4109999999999996</v>
      </c>
      <c r="K22" s="1" cm="1">
        <f t="array" aca="1" ref="K22" ca="1">INDIRECT("RawData!"&amp;ADDRESS($C$5+$A22,K$6))</f>
        <v>3.2649999999999998E-2</v>
      </c>
      <c r="L22" s="1" cm="1">
        <f t="array" aca="1" ref="L22" ca="1">INDIRECT("RawData!"&amp;ADDRESS($C$5+$A22,L$6))</f>
        <v>5.1599999999999997E-3</v>
      </c>
      <c r="M22" s="1" cm="1">
        <f t="array" aca="1" ref="M22" ca="1">INDIRECT("RawData!"&amp;ADDRESS($C$5+$A22,M$6))</f>
        <v>1.899</v>
      </c>
      <c r="N22" s="1" cm="1">
        <f t="array" aca="1" ref="N22" ca="1">INDIRECT("RawData!"&amp;ADDRESS($C$5+$A22,N$6))</f>
        <v>9.6310000000000007E-2</v>
      </c>
      <c r="O22" s="1" cm="1">
        <f t="array" aca="1" ref="O22" ca="1">INDIRECT("RawData!"&amp;ADDRESS($C$5+$A22,O$6))</f>
        <v>1.523E-2</v>
      </c>
      <c r="P22" s="1" cm="1">
        <f t="array" aca="1" ref="P22" ca="1">INDIRECT("RawData!"&amp;ADDRESS($C$5+$A22,P$6))</f>
        <v>0</v>
      </c>
      <c r="Q22" s="1" cm="1">
        <f t="array" aca="1" ref="Q22" ca="1">INDIRECT("RawData!"&amp;ADDRESS($C$5+$A22,Q$6))</f>
        <v>0</v>
      </c>
      <c r="R22" s="1" cm="1">
        <f t="array" aca="1" ref="R22" ca="1">INDIRECT("RawData!"&amp;ADDRESS($C$5+$A22,R$6))</f>
        <v>0</v>
      </c>
      <c r="S22" s="1" cm="1">
        <f t="array" aca="1" ref="S22" ca="1">INDIRECT("RawData!"&amp;ADDRESS($C$5+$A22,S$6))</f>
        <v>0</v>
      </c>
      <c r="T22" s="1" cm="1">
        <f t="array" aca="1" ref="T22" ca="1">INDIRECT("RawData!"&amp;ADDRESS($C$5+$A22,T$6))</f>
        <v>0</v>
      </c>
      <c r="U22" s="1" cm="1">
        <f t="array" aca="1" ref="U22" ca="1">INDIRECT("RawData!"&amp;ADDRESS($C$5+$A22,U$6))</f>
        <v>0</v>
      </c>
      <c r="V22" s="1" cm="1">
        <f t="array" aca="1" ref="V22" ca="1">INDIRECT("RawData!"&amp;ADDRESS($C$5+$A22,V$6))</f>
        <v>6.5259999999999998</v>
      </c>
      <c r="W22" s="1" cm="1">
        <f t="array" aca="1" ref="W22" ca="1">INDIRECT("RawData!"&amp;ADDRESS($C$5+$A22,W$6))</f>
        <v>6.0609999999999997E-2</v>
      </c>
      <c r="X22" s="1" cm="1">
        <f t="array" aca="1" ref="X22" ca="1">INDIRECT("RawData!"&amp;ADDRESS($C$5+$A22,X$6))</f>
        <v>9.58E-3</v>
      </c>
      <c r="Y22" s="1" cm="1">
        <f t="array" aca="1" ref="Y22" ca="1">INDIRECT("RawData!"&amp;ADDRESS($C$5+$A22,Y$6))</f>
        <v>4.6180000000000003</v>
      </c>
      <c r="Z22" s="1" cm="1">
        <f t="array" aca="1" ref="Z22" ca="1">INDIRECT("RawData!"&amp;ADDRESS($C$5+$A22,Z$6))</f>
        <v>7.0720000000000005E-2</v>
      </c>
      <c r="AA22" s="1" cm="1">
        <f t="array" aca="1" ref="AA22" ca="1">INDIRECT("RawData!"&amp;ADDRESS($C$5+$A22,AA$6))</f>
        <v>1.1180000000000001E-2</v>
      </c>
    </row>
    <row r="23" spans="1:27" x14ac:dyDescent="0.3">
      <c r="A23" s="1">
        <v>12</v>
      </c>
      <c r="C23" s="1" t="str" cm="1">
        <f t="array" aca="1" ref="C23" ca="1">INDIRECT("RawData!A"&amp;TEXT(C$5+A23,"0"))</f>
        <v>Test1/gpp.x</v>
      </c>
      <c r="D23" s="1" cm="1">
        <f t="array" aca="1" ref="D23" ca="1">INDIRECT("RawData!"&amp;ADDRESS($C$5+$A23,D$6))</f>
        <v>7.06</v>
      </c>
      <c r="E23" s="1" cm="1">
        <f t="array" aca="1" ref="E23" ca="1">INDIRECT("RawData!"&amp;ADDRESS($C$5+$A23,E$6))</f>
        <v>0.18579000000000001</v>
      </c>
      <c r="F23" s="1" cm="1">
        <f t="array" aca="1" ref="F23" ca="1">INDIRECT("RawData!"&amp;ADDRESS($C$5+$A23,F$6))</f>
        <v>2.938E-2</v>
      </c>
      <c r="G23" s="1" cm="1">
        <f t="array" aca="1" ref="G23" ca="1">INDIRECT("RawData!"&amp;ADDRESS($C$5+$A23,G$6))</f>
        <v>7.2329999999999997</v>
      </c>
      <c r="H23" s="1" cm="1">
        <f t="array" aca="1" ref="H23" ca="1">INDIRECT("RawData!"&amp;ADDRESS($C$5+$A23,H$6))</f>
        <v>0.20508999999999999</v>
      </c>
      <c r="I23" s="1" cm="1">
        <f t="array" aca="1" ref="I23" ca="1">INDIRECT("RawData!"&amp;ADDRESS($C$5+$A23,I$6))</f>
        <v>3.243E-2</v>
      </c>
      <c r="J23" s="1" cm="1">
        <f t="array" aca="1" ref="J23" ca="1">INDIRECT("RawData!"&amp;ADDRESS($C$5+$A23,J$6))</f>
        <v>32.329000000000001</v>
      </c>
      <c r="K23" s="1" cm="1">
        <f t="array" aca="1" ref="K23" ca="1">INDIRECT("RawData!"&amp;ADDRESS($C$5+$A23,K$6))</f>
        <v>8.2500000000000004E-2</v>
      </c>
      <c r="L23" s="1" cm="1">
        <f t="array" aca="1" ref="L23" ca="1">INDIRECT("RawData!"&amp;ADDRESS($C$5+$A23,L$6))</f>
        <v>1.304E-2</v>
      </c>
      <c r="M23" s="1" cm="1">
        <f t="array" aca="1" ref="M23" ca="1">INDIRECT("RawData!"&amp;ADDRESS($C$5+$A23,M$6))</f>
        <v>26.992000000000001</v>
      </c>
      <c r="N23" s="1" cm="1">
        <f t="array" aca="1" ref="N23" ca="1">INDIRECT("RawData!"&amp;ADDRESS($C$5+$A23,N$6))</f>
        <v>0.12894</v>
      </c>
      <c r="O23" s="1" cm="1">
        <f t="array" aca="1" ref="O23" ca="1">INDIRECT("RawData!"&amp;ADDRESS($C$5+$A23,O$6))</f>
        <v>2.0389999999999998E-2</v>
      </c>
      <c r="P23" s="1" cm="1">
        <f t="array" aca="1" ref="P23" ca="1">INDIRECT("RawData!"&amp;ADDRESS($C$5+$A23,P$6))</f>
        <v>12.544</v>
      </c>
      <c r="Q23" s="1" cm="1">
        <f t="array" aca="1" ref="Q23" ca="1">INDIRECT("RawData!"&amp;ADDRESS($C$5+$A23,Q$6))</f>
        <v>1.31742</v>
      </c>
      <c r="R23" s="1" cm="1">
        <f t="array" aca="1" ref="R23" ca="1">INDIRECT("RawData!"&amp;ADDRESS($C$5+$A23,R$6))</f>
        <v>0.20830000000000001</v>
      </c>
      <c r="S23" s="1" cm="1">
        <f t="array" aca="1" ref="S23" ca="1">INDIRECT("RawData!"&amp;ADDRESS($C$5+$A23,S$6))</f>
        <v>12.734999999999999</v>
      </c>
      <c r="T23" s="1" cm="1">
        <f t="array" aca="1" ref="T23" ca="1">INDIRECT("RawData!"&amp;ADDRESS($C$5+$A23,T$6))</f>
        <v>1.4758</v>
      </c>
      <c r="U23" s="1" cm="1">
        <f t="array" aca="1" ref="U23" ca="1">INDIRECT("RawData!"&amp;ADDRESS($C$5+$A23,U$6))</f>
        <v>0.23333999999999999</v>
      </c>
      <c r="V23" s="1" cm="1">
        <f t="array" aca="1" ref="V23" ca="1">INDIRECT("RawData!"&amp;ADDRESS($C$5+$A23,V$6))</f>
        <v>18.759</v>
      </c>
      <c r="W23" s="1" cm="1">
        <f t="array" aca="1" ref="W23" ca="1">INDIRECT("RawData!"&amp;ADDRESS($C$5+$A23,W$6))</f>
        <v>8.5050000000000001E-2</v>
      </c>
      <c r="X23" s="1" cm="1">
        <f t="array" aca="1" ref="X23" ca="1">INDIRECT("RawData!"&amp;ADDRESS($C$5+$A23,X$6))</f>
        <v>1.345E-2</v>
      </c>
      <c r="Y23" s="1" cm="1">
        <f t="array" aca="1" ref="Y23" ca="1">INDIRECT("RawData!"&amp;ADDRESS($C$5+$A23,Y$6))</f>
        <v>18.765000000000001</v>
      </c>
      <c r="Z23" s="1" cm="1">
        <f t="array" aca="1" ref="Z23" ca="1">INDIRECT("RawData!"&amp;ADDRESS($C$5+$A23,Z$6))</f>
        <v>7.7530000000000002E-2</v>
      </c>
      <c r="AA23" s="1" cm="1">
        <f t="array" aca="1" ref="AA23" ca="1">INDIRECT("RawData!"&amp;ADDRESS($C$5+$A23,AA$6))</f>
        <v>1.226E-2</v>
      </c>
    </row>
    <row r="24" spans="1:27" x14ac:dyDescent="0.3">
      <c r="A24" s="1">
        <v>13</v>
      </c>
      <c r="C24" s="1" t="str" cm="1">
        <f t="array" aca="1" ref="C24" ca="1">INDIRECT("RawData!A"&amp;TEXT(C$5+A24,"0"))</f>
        <v>Test1/gpp_o3.x</v>
      </c>
      <c r="D24" s="1" cm="1">
        <f t="array" aca="1" ref="D24" ca="1">INDIRECT("RawData!"&amp;ADDRESS($C$5+$A24,D$6))</f>
        <v>7.1559999999999997</v>
      </c>
      <c r="E24" s="1" cm="1">
        <f t="array" aca="1" ref="E24" ca="1">INDIRECT("RawData!"&amp;ADDRESS($C$5+$A24,E$6))</f>
        <v>0.27629999999999999</v>
      </c>
      <c r="F24" s="1" cm="1">
        <f t="array" aca="1" ref="F24" ca="1">INDIRECT("RawData!"&amp;ADDRESS($C$5+$A24,F$6))</f>
        <v>4.369E-2</v>
      </c>
      <c r="G24" s="1" cm="1">
        <f t="array" aca="1" ref="G24" ca="1">INDIRECT("RawData!"&amp;ADDRESS($C$5+$A24,G$6))</f>
        <v>7.093</v>
      </c>
      <c r="H24" s="1" cm="1">
        <f t="array" aca="1" ref="H24" ca="1">INDIRECT("RawData!"&amp;ADDRESS($C$5+$A24,H$6))</f>
        <v>0.27194000000000002</v>
      </c>
      <c r="I24" s="1" cm="1">
        <f t="array" aca="1" ref="I24" ca="1">INDIRECT("RawData!"&amp;ADDRESS($C$5+$A24,I$6))</f>
        <v>4.2999999999999997E-2</v>
      </c>
      <c r="J24" s="1" cm="1">
        <f t="array" aca="1" ref="J24" ca="1">INDIRECT("RawData!"&amp;ADDRESS($C$5+$A24,J$6))</f>
        <v>18.843</v>
      </c>
      <c r="K24" s="1" cm="1">
        <f t="array" aca="1" ref="K24" ca="1">INDIRECT("RawData!"&amp;ADDRESS($C$5+$A24,K$6))</f>
        <v>4.956E-2</v>
      </c>
      <c r="L24" s="1" cm="1">
        <f t="array" aca="1" ref="L24" ca="1">INDIRECT("RawData!"&amp;ADDRESS($C$5+$A24,L$6))</f>
        <v>7.8399999999999997E-3</v>
      </c>
      <c r="M24" s="1" cm="1">
        <f t="array" aca="1" ref="M24" ca="1">INDIRECT("RawData!"&amp;ADDRESS($C$5+$A24,M$6))</f>
        <v>8.0920000000000005</v>
      </c>
      <c r="N24" s="1" cm="1">
        <f t="array" aca="1" ref="N24" ca="1">INDIRECT("RawData!"&amp;ADDRESS($C$5+$A24,N$6))</f>
        <v>3.7769999999999998E-2</v>
      </c>
      <c r="O24" s="1" cm="1">
        <f t="array" aca="1" ref="O24" ca="1">INDIRECT("RawData!"&amp;ADDRESS($C$5+$A24,O$6))</f>
        <v>5.9699999999999996E-3</v>
      </c>
      <c r="P24" s="1" cm="1">
        <f t="array" aca="1" ref="P24" ca="1">INDIRECT("RawData!"&amp;ADDRESS($C$5+$A24,P$6))</f>
        <v>12.518000000000001</v>
      </c>
      <c r="Q24" s="1" cm="1">
        <f t="array" aca="1" ref="Q24" ca="1">INDIRECT("RawData!"&amp;ADDRESS($C$5+$A24,Q$6))</f>
        <v>1.4030199999999999</v>
      </c>
      <c r="R24" s="1" cm="1">
        <f t="array" aca="1" ref="R24" ca="1">INDIRECT("RawData!"&amp;ADDRESS($C$5+$A24,R$6))</f>
        <v>0.22184000000000001</v>
      </c>
      <c r="S24" s="1" cm="1">
        <f t="array" aca="1" ref="S24" ca="1">INDIRECT("RawData!"&amp;ADDRESS($C$5+$A24,S$6))</f>
        <v>11.769</v>
      </c>
      <c r="T24" s="1" cm="1">
        <f t="array" aca="1" ref="T24" ca="1">INDIRECT("RawData!"&amp;ADDRESS($C$5+$A24,T$6))</f>
        <v>1.62758</v>
      </c>
      <c r="U24" s="1" cm="1">
        <f t="array" aca="1" ref="U24" ca="1">INDIRECT("RawData!"&amp;ADDRESS($C$5+$A24,U$6))</f>
        <v>0.25734000000000001</v>
      </c>
      <c r="V24" s="1" cm="1">
        <f t="array" aca="1" ref="V24" ca="1">INDIRECT("RawData!"&amp;ADDRESS($C$5+$A24,V$6))</f>
        <v>12.528</v>
      </c>
      <c r="W24" s="1" cm="1">
        <f t="array" aca="1" ref="W24" ca="1">INDIRECT("RawData!"&amp;ADDRESS($C$5+$A24,W$6))</f>
        <v>7.1830000000000005E-2</v>
      </c>
      <c r="X24" s="1" cm="1">
        <f t="array" aca="1" ref="X24" ca="1">INDIRECT("RawData!"&amp;ADDRESS($C$5+$A24,X$6))</f>
        <v>1.136E-2</v>
      </c>
      <c r="Y24" s="1" cm="1">
        <f t="array" aca="1" ref="Y24" ca="1">INDIRECT("RawData!"&amp;ADDRESS($C$5+$A24,Y$6))</f>
        <v>9.6219999999999999</v>
      </c>
      <c r="Z24" s="1" cm="1">
        <f t="array" aca="1" ref="Z24" ca="1">INDIRECT("RawData!"&amp;ADDRESS($C$5+$A24,Z$6))</f>
        <v>9.0749999999999997E-2</v>
      </c>
      <c r="AA24" s="1" cm="1">
        <f t="array" aca="1" ref="AA24" ca="1">INDIRECT("RawData!"&amp;ADDRESS($C$5+$A24,AA$6))</f>
        <v>1.435E-2</v>
      </c>
    </row>
    <row r="25" spans="1:27" x14ac:dyDescent="0.3">
      <c r="A25" s="1">
        <v>14</v>
      </c>
      <c r="C25" s="1" t="str" cm="1">
        <f t="array" aca="1" ref="C25" ca="1">INDIRECT("RawData!A"&amp;TEXT(C$5+A25,"0"))</f>
        <v>Test1/gpp_w_lu2.x</v>
      </c>
      <c r="D25" s="1" cm="1">
        <f t="array" aca="1" ref="D25" ca="1">INDIRECT("RawData!"&amp;ADDRESS($C$5+$A25,D$6))</f>
        <v>5.0640000000000001</v>
      </c>
      <c r="E25" s="1" cm="1">
        <f t="array" aca="1" ref="E25" ca="1">INDIRECT("RawData!"&amp;ADDRESS($C$5+$A25,E$6))</f>
        <v>0.28123999999999999</v>
      </c>
      <c r="F25" s="1" cm="1">
        <f t="array" aca="1" ref="F25" ca="1">INDIRECT("RawData!"&amp;ADDRESS($C$5+$A25,F$6))</f>
        <v>4.4470000000000003E-2</v>
      </c>
      <c r="G25" s="1" cm="1">
        <f t="array" aca="1" ref="G25" ca="1">INDIRECT("RawData!"&amp;ADDRESS($C$5+$A25,G$6))</f>
        <v>5.1130000000000004</v>
      </c>
      <c r="H25" s="1" cm="1">
        <f t="array" aca="1" ref="H25" ca="1">INDIRECT("RawData!"&amp;ADDRESS($C$5+$A25,H$6))</f>
        <v>0.28442000000000001</v>
      </c>
      <c r="I25" s="1" cm="1">
        <f t="array" aca="1" ref="I25" ca="1">INDIRECT("RawData!"&amp;ADDRESS($C$5+$A25,I$6))</f>
        <v>4.4970000000000003E-2</v>
      </c>
      <c r="J25" s="1" cm="1">
        <f t="array" aca="1" ref="J25" ca="1">INDIRECT("RawData!"&amp;ADDRESS($C$5+$A25,J$6))</f>
        <v>2.7879999999999998</v>
      </c>
      <c r="K25" s="1" cm="1">
        <f t="array" aca="1" ref="K25" ca="1">INDIRECT("RawData!"&amp;ADDRESS($C$5+$A25,K$6))</f>
        <v>7.8289999999999998E-2</v>
      </c>
      <c r="L25" s="1" cm="1">
        <f t="array" aca="1" ref="L25" ca="1">INDIRECT("RawData!"&amp;ADDRESS($C$5+$A25,L$6))</f>
        <v>1.238E-2</v>
      </c>
      <c r="M25" s="1" cm="1">
        <f t="array" aca="1" ref="M25" ca="1">INDIRECT("RawData!"&amp;ADDRESS($C$5+$A25,M$6))</f>
        <v>2.76</v>
      </c>
      <c r="N25" s="1" cm="1">
        <f t="array" aca="1" ref="N25" ca="1">INDIRECT("RawData!"&amp;ADDRESS($C$5+$A25,N$6))</f>
        <v>6.2190000000000002E-2</v>
      </c>
      <c r="O25" s="1" cm="1">
        <f t="array" aca="1" ref="O25" ca="1">INDIRECT("RawData!"&amp;ADDRESS($C$5+$A25,O$6))</f>
        <v>9.8300000000000002E-3</v>
      </c>
      <c r="P25" s="1" cm="1">
        <f t="array" aca="1" ref="P25" ca="1">INDIRECT("RawData!"&amp;ADDRESS($C$5+$A25,P$6))</f>
        <v>5.92</v>
      </c>
      <c r="Q25" s="1" cm="1">
        <f t="array" aca="1" ref="Q25" ca="1">INDIRECT("RawData!"&amp;ADDRESS($C$5+$A25,Q$6))</f>
        <v>0.99239999999999995</v>
      </c>
      <c r="R25" s="1" cm="1">
        <f t="array" aca="1" ref="R25" ca="1">INDIRECT("RawData!"&amp;ADDRESS($C$5+$A25,R$6))</f>
        <v>0.15690999999999999</v>
      </c>
      <c r="S25" s="1" cm="1">
        <f t="array" aca="1" ref="S25" ca="1">INDIRECT("RawData!"&amp;ADDRESS($C$5+$A25,S$6))</f>
        <v>6.9770000000000003</v>
      </c>
      <c r="T25" s="1" cm="1">
        <f t="array" aca="1" ref="T25" ca="1">INDIRECT("RawData!"&amp;ADDRESS($C$5+$A25,T$6))</f>
        <v>0.96989000000000003</v>
      </c>
      <c r="U25" s="1" cm="1">
        <f t="array" aca="1" ref="U25" ca="1">INDIRECT("RawData!"&amp;ADDRESS($C$5+$A25,U$6))</f>
        <v>0.15334999999999999</v>
      </c>
      <c r="V25" s="1" cm="1">
        <f t="array" aca="1" ref="V25" ca="1">INDIRECT("RawData!"&amp;ADDRESS($C$5+$A25,V$6))</f>
        <v>6.0579999999999998</v>
      </c>
      <c r="W25" s="1" cm="1">
        <f t="array" aca="1" ref="W25" ca="1">INDIRECT("RawData!"&amp;ADDRESS($C$5+$A25,W$6))</f>
        <v>0.18776000000000001</v>
      </c>
      <c r="X25" s="1" cm="1">
        <f t="array" aca="1" ref="X25" ca="1">INDIRECT("RawData!"&amp;ADDRESS($C$5+$A25,X$6))</f>
        <v>2.9690000000000001E-2</v>
      </c>
      <c r="Y25" s="1" cm="1">
        <f t="array" aca="1" ref="Y25" ca="1">INDIRECT("RawData!"&amp;ADDRESS($C$5+$A25,Y$6))</f>
        <v>6.0069999999999997</v>
      </c>
      <c r="Z25" s="1" cm="1">
        <f t="array" aca="1" ref="Z25" ca="1">INDIRECT("RawData!"&amp;ADDRESS($C$5+$A25,Z$6))</f>
        <v>0.1091</v>
      </c>
      <c r="AA25" s="1" cm="1">
        <f t="array" aca="1" ref="AA25" ca="1">INDIRECT("RawData!"&amp;ADDRESS($C$5+$A25,AA$6))</f>
        <v>1.7250000000000001E-2</v>
      </c>
    </row>
    <row r="26" spans="1:27" x14ac:dyDescent="0.3">
      <c r="A26" s="1">
        <v>15</v>
      </c>
      <c r="C26" s="1" t="str" cm="1">
        <f t="array" aca="1" ref="C26" ca="1">INDIRECT("RawData!A"&amp;TEXT(C$5+A26,"0"))</f>
        <v>Test1/gpp_w_lu2_o3.x</v>
      </c>
      <c r="D26" s="1" cm="1">
        <f t="array" aca="1" ref="D26" ca="1">INDIRECT("RawData!"&amp;ADDRESS($C$5+$A26,D$6))</f>
        <v>5.048</v>
      </c>
      <c r="E26" s="1" cm="1">
        <f t="array" aca="1" ref="E26" ca="1">INDIRECT("RawData!"&amp;ADDRESS($C$5+$A26,E$6))</f>
        <v>0.28526000000000001</v>
      </c>
      <c r="F26" s="1" cm="1">
        <f t="array" aca="1" ref="F26" ca="1">INDIRECT("RawData!"&amp;ADDRESS($C$5+$A26,F$6))</f>
        <v>4.5100000000000001E-2</v>
      </c>
      <c r="G26" s="1" cm="1">
        <f t="array" aca="1" ref="G26" ca="1">INDIRECT("RawData!"&amp;ADDRESS($C$5+$A26,G$6))</f>
        <v>5.2960000000000003</v>
      </c>
      <c r="H26" s="1" cm="1">
        <f t="array" aca="1" ref="H26" ca="1">INDIRECT("RawData!"&amp;ADDRESS($C$5+$A26,H$6))</f>
        <v>0.32222000000000001</v>
      </c>
      <c r="I26" s="1" cm="1">
        <f t="array" aca="1" ref="I26" ca="1">INDIRECT("RawData!"&amp;ADDRESS($C$5+$A26,I$6))</f>
        <v>5.0950000000000002E-2</v>
      </c>
      <c r="J26" s="1" cm="1">
        <f t="array" aca="1" ref="J26" ca="1">INDIRECT("RawData!"&amp;ADDRESS($C$5+$A26,J$6))</f>
        <v>2.786</v>
      </c>
      <c r="K26" s="1" cm="1">
        <f t="array" aca="1" ref="K26" ca="1">INDIRECT("RawData!"&amp;ADDRESS($C$5+$A26,K$6))</f>
        <v>7.1470000000000006E-2</v>
      </c>
      <c r="L26" s="1" cm="1">
        <f t="array" aca="1" ref="L26" ca="1">INDIRECT("RawData!"&amp;ADDRESS($C$5+$A26,L$6))</f>
        <v>1.1299999999999999E-2</v>
      </c>
      <c r="M26" s="1" cm="1">
        <f t="array" aca="1" ref="M26" ca="1">INDIRECT("RawData!"&amp;ADDRESS($C$5+$A26,M$6))</f>
        <v>2.7890000000000001</v>
      </c>
      <c r="N26" s="1" cm="1">
        <f t="array" aca="1" ref="N26" ca="1">INDIRECT("RawData!"&amp;ADDRESS($C$5+$A26,N$6))</f>
        <v>6.8059999999999996E-2</v>
      </c>
      <c r="O26" s="1" cm="1">
        <f t="array" aca="1" ref="O26" ca="1">INDIRECT("RawData!"&amp;ADDRESS($C$5+$A26,O$6))</f>
        <v>1.076E-2</v>
      </c>
      <c r="P26" s="1" cm="1">
        <f t="array" aca="1" ref="P26" ca="1">INDIRECT("RawData!"&amp;ADDRESS($C$5+$A26,P$6))</f>
        <v>6.601</v>
      </c>
      <c r="Q26" s="1" cm="1">
        <f t="array" aca="1" ref="Q26" ca="1">INDIRECT("RawData!"&amp;ADDRESS($C$5+$A26,Q$6))</f>
        <v>0.72885</v>
      </c>
      <c r="R26" s="1" cm="1">
        <f t="array" aca="1" ref="R26" ca="1">INDIRECT("RawData!"&amp;ADDRESS($C$5+$A26,R$6))</f>
        <v>0.11524</v>
      </c>
      <c r="S26" s="1" cm="1">
        <f t="array" aca="1" ref="S26" ca="1">INDIRECT("RawData!"&amp;ADDRESS($C$5+$A26,S$6))</f>
        <v>6.7919999999999998</v>
      </c>
      <c r="T26" s="1" cm="1">
        <f t="array" aca="1" ref="T26" ca="1">INDIRECT("RawData!"&amp;ADDRESS($C$5+$A26,T$6))</f>
        <v>0.54376999999999998</v>
      </c>
      <c r="U26" s="1" cm="1">
        <f t="array" aca="1" ref="U26" ca="1">INDIRECT("RawData!"&amp;ADDRESS($C$5+$A26,U$6))</f>
        <v>8.5980000000000001E-2</v>
      </c>
      <c r="V26" s="1" cm="1">
        <f t="array" aca="1" ref="V26" ca="1">INDIRECT("RawData!"&amp;ADDRESS($C$5+$A26,V$6))</f>
        <v>6.1310000000000002</v>
      </c>
      <c r="W26" s="1" cm="1">
        <f t="array" aca="1" ref="W26" ca="1">INDIRECT("RawData!"&amp;ADDRESS($C$5+$A26,W$6))</f>
        <v>0.23527000000000001</v>
      </c>
      <c r="X26" s="1" cm="1">
        <f t="array" aca="1" ref="X26" ca="1">INDIRECT("RawData!"&amp;ADDRESS($C$5+$A26,X$6))</f>
        <v>3.7199999999999997E-2</v>
      </c>
      <c r="Y26" s="1" cm="1">
        <f t="array" aca="1" ref="Y26" ca="1">INDIRECT("RawData!"&amp;ADDRESS($C$5+$A26,Y$6))</f>
        <v>6.01</v>
      </c>
      <c r="Z26" s="1" cm="1">
        <f t="array" aca="1" ref="Z26" ca="1">INDIRECT("RawData!"&amp;ADDRESS($C$5+$A26,Z$6))</f>
        <v>0.13231999999999999</v>
      </c>
      <c r="AA26" s="1" cm="1">
        <f t="array" aca="1" ref="AA26" ca="1">INDIRECT("RawData!"&amp;ADDRESS($C$5+$A26,AA$6))</f>
        <v>2.0920000000000001E-2</v>
      </c>
    </row>
    <row r="27" spans="1:27" x14ac:dyDescent="0.3">
      <c r="A27" s="1">
        <v>16</v>
      </c>
      <c r="C27" s="1" t="str" cm="1">
        <f t="array" aca="1" ref="C27" ca="1">INDIRECT("RawData!A"&amp;TEXT(C$5+A27,"0"))</f>
        <v>Test1/gpp_w_lu4.x</v>
      </c>
      <c r="D27" s="1" cm="1">
        <f t="array" aca="1" ref="D27" ca="1">INDIRECT("RawData!"&amp;ADDRESS($C$5+$A27,D$6))</f>
        <v>4.9530000000000003</v>
      </c>
      <c r="E27" s="1" cm="1">
        <f t="array" aca="1" ref="E27" ca="1">INDIRECT("RawData!"&amp;ADDRESS($C$5+$A27,E$6))</f>
        <v>0.38882</v>
      </c>
      <c r="F27" s="1" cm="1">
        <f t="array" aca="1" ref="F27" ca="1">INDIRECT("RawData!"&amp;ADDRESS($C$5+$A27,F$6))</f>
        <v>6.148E-2</v>
      </c>
      <c r="G27" s="1" cm="1">
        <f t="array" aca="1" ref="G27" ca="1">INDIRECT("RawData!"&amp;ADDRESS($C$5+$A27,G$6))</f>
        <v>4.952</v>
      </c>
      <c r="H27" s="1" cm="1">
        <f t="array" aca="1" ref="H27" ca="1">INDIRECT("RawData!"&amp;ADDRESS($C$5+$A27,H$6))</f>
        <v>0.29730000000000001</v>
      </c>
      <c r="I27" s="1" cm="1">
        <f t="array" aca="1" ref="I27" ca="1">INDIRECT("RawData!"&amp;ADDRESS($C$5+$A27,I$6))</f>
        <v>4.7010000000000003E-2</v>
      </c>
      <c r="J27" s="1" cm="1">
        <f t="array" aca="1" ref="J27" ca="1">INDIRECT("RawData!"&amp;ADDRESS($C$5+$A27,J$6))</f>
        <v>2.0190000000000001</v>
      </c>
      <c r="K27" s="1" cm="1">
        <f t="array" aca="1" ref="K27" ca="1">INDIRECT("RawData!"&amp;ADDRESS($C$5+$A27,K$6))</f>
        <v>0.11355999999999999</v>
      </c>
      <c r="L27" s="1" cm="1">
        <f t="array" aca="1" ref="L27" ca="1">INDIRECT("RawData!"&amp;ADDRESS($C$5+$A27,L$6))</f>
        <v>1.7950000000000001E-2</v>
      </c>
      <c r="M27" s="1" cm="1">
        <f t="array" aca="1" ref="M27" ca="1">INDIRECT("RawData!"&amp;ADDRESS($C$5+$A27,M$6))</f>
        <v>1.992</v>
      </c>
      <c r="N27" s="1" cm="1">
        <f t="array" aca="1" ref="N27" ca="1">INDIRECT("RawData!"&amp;ADDRESS($C$5+$A27,N$6))</f>
        <v>8.2250000000000004E-2</v>
      </c>
      <c r="O27" s="1" cm="1">
        <f t="array" aca="1" ref="O27" ca="1">INDIRECT("RawData!"&amp;ADDRESS($C$5+$A27,O$6))</f>
        <v>1.3010000000000001E-2</v>
      </c>
      <c r="P27" s="1" cm="1">
        <f t="array" aca="1" ref="P27" ca="1">INDIRECT("RawData!"&amp;ADDRESS($C$5+$A27,P$6))</f>
        <v>4.0659999999999998</v>
      </c>
      <c r="Q27" s="1" cm="1">
        <f t="array" aca="1" ref="Q27" ca="1">INDIRECT("RawData!"&amp;ADDRESS($C$5+$A27,Q$6))</f>
        <v>0.61924000000000001</v>
      </c>
      <c r="R27" s="1" cm="1">
        <f t="array" aca="1" ref="R27" ca="1">INDIRECT("RawData!"&amp;ADDRESS($C$5+$A27,R$6))</f>
        <v>9.7909999999999997E-2</v>
      </c>
      <c r="S27" s="1" cm="1">
        <f t="array" aca="1" ref="S27" ca="1">INDIRECT("RawData!"&amp;ADDRESS($C$5+$A27,S$6))</f>
        <v>4.3710000000000004</v>
      </c>
      <c r="T27" s="1" cm="1">
        <f t="array" aca="1" ref="T27" ca="1">INDIRECT("RawData!"&amp;ADDRESS($C$5+$A27,T$6))</f>
        <v>1.45139</v>
      </c>
      <c r="U27" s="1" cm="1">
        <f t="array" aca="1" ref="U27" ca="1">INDIRECT("RawData!"&amp;ADDRESS($C$5+$A27,U$6))</f>
        <v>0.22949</v>
      </c>
      <c r="V27" s="1" cm="1">
        <f t="array" aca="1" ref="V27" ca="1">INDIRECT("RawData!"&amp;ADDRESS($C$5+$A27,V$6))</f>
        <v>5.7750000000000004</v>
      </c>
      <c r="W27" s="1" cm="1">
        <f t="array" aca="1" ref="W27" ca="1">INDIRECT("RawData!"&amp;ADDRESS($C$5+$A27,W$6))</f>
        <v>0.24987000000000001</v>
      </c>
      <c r="X27" s="1" cm="1">
        <f t="array" aca="1" ref="X27" ca="1">INDIRECT("RawData!"&amp;ADDRESS($C$5+$A27,X$6))</f>
        <v>3.9510000000000003E-2</v>
      </c>
      <c r="Y27" s="1" cm="1">
        <f t="array" aca="1" ref="Y27" ca="1">INDIRECT("RawData!"&amp;ADDRESS($C$5+$A27,Y$6))</f>
        <v>5.6639999999999997</v>
      </c>
      <c r="Z27" s="1" cm="1">
        <f t="array" aca="1" ref="Z27" ca="1">INDIRECT("RawData!"&amp;ADDRESS($C$5+$A27,Z$6))</f>
        <v>0.11791</v>
      </c>
      <c r="AA27" s="1" cm="1">
        <f t="array" aca="1" ref="AA27" ca="1">INDIRECT("RawData!"&amp;ADDRESS($C$5+$A27,AA$6))</f>
        <v>1.864E-2</v>
      </c>
    </row>
    <row r="28" spans="1:27" x14ac:dyDescent="0.3">
      <c r="A28" s="1">
        <v>17</v>
      </c>
      <c r="C28" s="1" t="str" cm="1">
        <f t="array" aca="1" ref="C28" ca="1">INDIRECT("RawData!A"&amp;TEXT(C$5+A28,"0"))</f>
        <v>Test1/gpp_w_lu8.x</v>
      </c>
      <c r="D28" s="1" cm="1">
        <f t="array" aca="1" ref="D28" ca="1">INDIRECT("RawData!"&amp;ADDRESS($C$5+$A28,D$6))</f>
        <v>4.8540000000000001</v>
      </c>
      <c r="E28" s="1" cm="1">
        <f t="array" aca="1" ref="E28" ca="1">INDIRECT("RawData!"&amp;ADDRESS($C$5+$A28,E$6))</f>
        <v>0.34004000000000001</v>
      </c>
      <c r="F28" s="1" cm="1">
        <f t="array" aca="1" ref="F28" ca="1">INDIRECT("RawData!"&amp;ADDRESS($C$5+$A28,F$6))</f>
        <v>5.3760000000000002E-2</v>
      </c>
      <c r="G28" s="1" cm="1">
        <f t="array" aca="1" ref="G28" ca="1">INDIRECT("RawData!"&amp;ADDRESS($C$5+$A28,G$6))</f>
        <v>4.9770000000000003</v>
      </c>
      <c r="H28" s="1" cm="1">
        <f t="array" aca="1" ref="H28" ca="1">INDIRECT("RawData!"&amp;ADDRESS($C$5+$A28,H$6))</f>
        <v>0.38355</v>
      </c>
      <c r="I28" s="1" cm="1">
        <f t="array" aca="1" ref="I28" ca="1">INDIRECT("RawData!"&amp;ADDRESS($C$5+$A28,I$6))</f>
        <v>6.0650000000000003E-2</v>
      </c>
      <c r="J28" s="1" cm="1">
        <f t="array" aca="1" ref="J28" ca="1">INDIRECT("RawData!"&amp;ADDRESS($C$5+$A28,J$6))</f>
        <v>1.9610000000000001</v>
      </c>
      <c r="K28" s="1" cm="1">
        <f t="array" aca="1" ref="K28" ca="1">INDIRECT("RawData!"&amp;ADDRESS($C$5+$A28,K$6))</f>
        <v>0.11260000000000001</v>
      </c>
      <c r="L28" s="1" cm="1">
        <f t="array" aca="1" ref="L28" ca="1">INDIRECT("RawData!"&amp;ADDRESS($C$5+$A28,L$6))</f>
        <v>1.78E-2</v>
      </c>
      <c r="M28" s="1" cm="1">
        <f t="array" aca="1" ref="M28" ca="1">INDIRECT("RawData!"&amp;ADDRESS($C$5+$A28,M$6))</f>
        <v>1.956</v>
      </c>
      <c r="N28" s="1" cm="1">
        <f t="array" aca="1" ref="N28" ca="1">INDIRECT("RawData!"&amp;ADDRESS($C$5+$A28,N$6))</f>
        <v>8.4129999999999996E-2</v>
      </c>
      <c r="O28" s="1" cm="1">
        <f t="array" aca="1" ref="O28" ca="1">INDIRECT("RawData!"&amp;ADDRESS($C$5+$A28,O$6))</f>
        <v>1.3299999999999999E-2</v>
      </c>
      <c r="P28" s="1" cm="1">
        <f t="array" aca="1" ref="P28" ca="1">INDIRECT("RawData!"&amp;ADDRESS($C$5+$A28,P$6))</f>
        <v>3.1619999999999999</v>
      </c>
      <c r="Q28" s="1" cm="1">
        <f t="array" aca="1" ref="Q28" ca="1">INDIRECT("RawData!"&amp;ADDRESS($C$5+$A28,Q$6))</f>
        <v>0.66591</v>
      </c>
      <c r="R28" s="1" cm="1">
        <f t="array" aca="1" ref="R28" ca="1">INDIRECT("RawData!"&amp;ADDRESS($C$5+$A28,R$6))</f>
        <v>0.10528999999999999</v>
      </c>
      <c r="S28" s="1" cm="1">
        <f t="array" aca="1" ref="S28" ca="1">INDIRECT("RawData!"&amp;ADDRESS($C$5+$A28,S$6))</f>
        <v>3.7970000000000002</v>
      </c>
      <c r="T28" s="1" cm="1">
        <f t="array" aca="1" ref="T28" ca="1">INDIRECT("RawData!"&amp;ADDRESS($C$5+$A28,T$6))</f>
        <v>2.8508399999999998</v>
      </c>
      <c r="U28" s="1" cm="1">
        <f t="array" aca="1" ref="U28" ca="1">INDIRECT("RawData!"&amp;ADDRESS($C$5+$A28,U$6))</f>
        <v>0.45075999999999999</v>
      </c>
      <c r="V28" s="1" cm="1">
        <f t="array" aca="1" ref="V28" ca="1">INDIRECT("RawData!"&amp;ADDRESS($C$5+$A28,V$6))</f>
        <v>5.75</v>
      </c>
      <c r="W28" s="1" cm="1">
        <f t="array" aca="1" ref="W28" ca="1">INDIRECT("RawData!"&amp;ADDRESS($C$5+$A28,W$6))</f>
        <v>0.25095000000000001</v>
      </c>
      <c r="X28" s="1" cm="1">
        <f t="array" aca="1" ref="X28" ca="1">INDIRECT("RawData!"&amp;ADDRESS($C$5+$A28,X$6))</f>
        <v>3.968E-2</v>
      </c>
      <c r="Y28" s="1" cm="1">
        <f t="array" aca="1" ref="Y28" ca="1">INDIRECT("RawData!"&amp;ADDRESS($C$5+$A28,Y$6))</f>
        <v>5.6139999999999999</v>
      </c>
      <c r="Z28" s="1" cm="1">
        <f t="array" aca="1" ref="Z28" ca="1">INDIRECT("RawData!"&amp;ADDRESS($C$5+$A28,Z$6))</f>
        <v>0.10647</v>
      </c>
      <c r="AA28" s="1" cm="1">
        <f t="array" aca="1" ref="AA28" ca="1">INDIRECT("RawData!"&amp;ADDRESS($C$5+$A28,AA$6))</f>
        <v>1.6830000000000001E-2</v>
      </c>
    </row>
    <row r="29" spans="1:27" x14ac:dyDescent="0.3">
      <c r="A29" s="1">
        <v>18</v>
      </c>
      <c r="C29" s="1" t="str" cm="1">
        <f t="array" aca="1" ref="C29" ca="1">INDIRECT("RawData!A"&amp;TEXT(C$5+A29,"0"))</f>
        <v>Test1/icx.x</v>
      </c>
      <c r="D29" s="1" cm="1">
        <f t="array" aca="1" ref="D29" ca="1">INDIRECT("RawData!"&amp;ADDRESS($C$5+$A29,D$6))</f>
        <v>4.6360000000000001</v>
      </c>
      <c r="E29" s="1" cm="1">
        <f t="array" aca="1" ref="E29" ca="1">INDIRECT("RawData!"&amp;ADDRESS($C$5+$A29,E$6))</f>
        <v>0.32471</v>
      </c>
      <c r="F29" s="1" cm="1">
        <f t="array" aca="1" ref="F29" ca="1">INDIRECT("RawData!"&amp;ADDRESS($C$5+$A29,F$6))</f>
        <v>5.1339999999999997E-2</v>
      </c>
      <c r="G29" s="1" cm="1">
        <f t="array" aca="1" ref="G29" ca="1">INDIRECT("RawData!"&amp;ADDRESS($C$5+$A29,G$6))</f>
        <v>4.16</v>
      </c>
      <c r="H29" s="1" cm="1">
        <f t="array" aca="1" ref="H29" ca="1">INDIRECT("RawData!"&amp;ADDRESS($C$5+$A29,H$6))</f>
        <v>0.23222000000000001</v>
      </c>
      <c r="I29" s="1" cm="1">
        <f t="array" aca="1" ref="I29" ca="1">INDIRECT("RawData!"&amp;ADDRESS($C$5+$A29,I$6))</f>
        <v>3.6720000000000003E-2</v>
      </c>
      <c r="J29" s="1" cm="1">
        <f t="array" aca="1" ref="J29" ca="1">INDIRECT("RawData!"&amp;ADDRESS($C$5+$A29,J$6))</f>
        <v>1.8939999999999999</v>
      </c>
      <c r="K29" s="1" cm="1">
        <f t="array" aca="1" ref="K29" ca="1">INDIRECT("RawData!"&amp;ADDRESS($C$5+$A29,K$6))</f>
        <v>0.15171000000000001</v>
      </c>
      <c r="L29" s="1" cm="1">
        <f t="array" aca="1" ref="L29" ca="1">INDIRECT("RawData!"&amp;ADDRESS($C$5+$A29,L$6))</f>
        <v>2.3990000000000001E-2</v>
      </c>
      <c r="M29" s="1" cm="1">
        <f t="array" aca="1" ref="M29" ca="1">INDIRECT("RawData!"&amp;ADDRESS($C$5+$A29,M$6))</f>
        <v>1.893</v>
      </c>
      <c r="N29" s="1" cm="1">
        <f t="array" aca="1" ref="N29" ca="1">INDIRECT("RawData!"&amp;ADDRESS($C$5+$A29,N$6))</f>
        <v>0.14892</v>
      </c>
      <c r="O29" s="1" cm="1">
        <f t="array" aca="1" ref="O29" ca="1">INDIRECT("RawData!"&amp;ADDRESS($C$5+$A29,O$6))</f>
        <v>2.3550000000000001E-2</v>
      </c>
      <c r="P29" s="1" cm="1">
        <f t="array" aca="1" ref="P29" ca="1">INDIRECT("RawData!"&amp;ADDRESS($C$5+$A29,P$6))</f>
        <v>0</v>
      </c>
      <c r="Q29" s="1" cm="1">
        <f t="array" aca="1" ref="Q29" ca="1">INDIRECT("RawData!"&amp;ADDRESS($C$5+$A29,Q$6))</f>
        <v>0</v>
      </c>
      <c r="R29" s="1" cm="1">
        <f t="array" aca="1" ref="R29" ca="1">INDIRECT("RawData!"&amp;ADDRESS($C$5+$A29,R$6))</f>
        <v>0</v>
      </c>
      <c r="S29" s="1" cm="1">
        <f t="array" aca="1" ref="S29" ca="1">INDIRECT("RawData!"&amp;ADDRESS($C$5+$A29,S$6))</f>
        <v>0</v>
      </c>
      <c r="T29" s="1" cm="1">
        <f t="array" aca="1" ref="T29" ca="1">INDIRECT("RawData!"&amp;ADDRESS($C$5+$A29,T$6))</f>
        <v>0</v>
      </c>
      <c r="U29" s="1" cm="1">
        <f t="array" aca="1" ref="U29" ca="1">INDIRECT("RawData!"&amp;ADDRESS($C$5+$A29,U$6))</f>
        <v>0</v>
      </c>
      <c r="V29" s="1" cm="1">
        <f t="array" aca="1" ref="V29" ca="1">INDIRECT("RawData!"&amp;ADDRESS($C$5+$A29,V$6))</f>
        <v>5.47</v>
      </c>
      <c r="W29" s="1" cm="1">
        <f t="array" aca="1" ref="W29" ca="1">INDIRECT("RawData!"&amp;ADDRESS($C$5+$A29,W$6))</f>
        <v>0.22817000000000001</v>
      </c>
      <c r="X29" s="1" cm="1">
        <f t="array" aca="1" ref="X29" ca="1">INDIRECT("RawData!"&amp;ADDRESS($C$5+$A29,X$6))</f>
        <v>3.6080000000000001E-2</v>
      </c>
      <c r="Y29" s="1" cm="1">
        <f t="array" aca="1" ref="Y29" ca="1">INDIRECT("RawData!"&amp;ADDRESS($C$5+$A29,Y$6))</f>
        <v>4.6909999999999998</v>
      </c>
      <c r="Z29" s="1" cm="1">
        <f t="array" aca="1" ref="Z29" ca="1">INDIRECT("RawData!"&amp;ADDRESS($C$5+$A29,Z$6))</f>
        <v>7.6410000000000006E-2</v>
      </c>
      <c r="AA29" s="1" cm="1">
        <f t="array" aca="1" ref="AA29" ca="1">INDIRECT("RawData!"&amp;ADDRESS($C$5+$A29,AA$6))</f>
        <v>1.208E-2</v>
      </c>
    </row>
    <row r="30" spans="1:27" x14ac:dyDescent="0.3">
      <c r="A30" s="1">
        <v>19</v>
      </c>
      <c r="C30" s="1" t="str" cm="1">
        <f t="array" aca="1" ref="C30" ca="1">INDIRECT("RawData!A"&amp;TEXT(C$5+A30,"0"))</f>
        <v>Test1/icx_o3.x</v>
      </c>
      <c r="D30" s="1" cm="1">
        <f t="array" aca="1" ref="D30" ca="1">INDIRECT("RawData!"&amp;ADDRESS($C$5+$A30,D$6))</f>
        <v>4.5919999999999996</v>
      </c>
      <c r="E30" s="1" cm="1">
        <f t="array" aca="1" ref="E30" ca="1">INDIRECT("RawData!"&amp;ADDRESS($C$5+$A30,E$6))</f>
        <v>0.39755000000000001</v>
      </c>
      <c r="F30" s="1" cm="1">
        <f t="array" aca="1" ref="F30" ca="1">INDIRECT("RawData!"&amp;ADDRESS($C$5+$A30,F$6))</f>
        <v>6.2859999999999999E-2</v>
      </c>
      <c r="G30" s="1" cm="1">
        <f t="array" aca="1" ref="G30" ca="1">INDIRECT("RawData!"&amp;ADDRESS($C$5+$A30,G$6))</f>
        <v>4.21</v>
      </c>
      <c r="H30" s="1" cm="1">
        <f t="array" aca="1" ref="H30" ca="1">INDIRECT("RawData!"&amp;ADDRESS($C$5+$A30,H$6))</f>
        <v>0.35792000000000002</v>
      </c>
      <c r="I30" s="1" cm="1">
        <f t="array" aca="1" ref="I30" ca="1">INDIRECT("RawData!"&amp;ADDRESS($C$5+$A30,I$6))</f>
        <v>5.6590000000000001E-2</v>
      </c>
      <c r="J30" s="1" cm="1">
        <f t="array" aca="1" ref="J30" ca="1">INDIRECT("RawData!"&amp;ADDRESS($C$5+$A30,J$6))</f>
        <v>1.9279999999999999</v>
      </c>
      <c r="K30" s="1" cm="1">
        <f t="array" aca="1" ref="K30" ca="1">INDIRECT("RawData!"&amp;ADDRESS($C$5+$A30,K$6))</f>
        <v>0.12055</v>
      </c>
      <c r="L30" s="1" cm="1">
        <f t="array" aca="1" ref="L30" ca="1">INDIRECT("RawData!"&amp;ADDRESS($C$5+$A30,L$6))</f>
        <v>1.9060000000000001E-2</v>
      </c>
      <c r="M30" s="1" cm="1">
        <f t="array" aca="1" ref="M30" ca="1">INDIRECT("RawData!"&amp;ADDRESS($C$5+$A30,M$6))</f>
        <v>1.86</v>
      </c>
      <c r="N30" s="1" cm="1">
        <f t="array" aca="1" ref="N30" ca="1">INDIRECT("RawData!"&amp;ADDRESS($C$5+$A30,N$6))</f>
        <v>0.12421</v>
      </c>
      <c r="O30" s="1" cm="1">
        <f t="array" aca="1" ref="O30" ca="1">INDIRECT("RawData!"&amp;ADDRESS($C$5+$A30,O$6))</f>
        <v>1.9640000000000001E-2</v>
      </c>
      <c r="P30" s="1" cm="1">
        <f t="array" aca="1" ref="P30" ca="1">INDIRECT("RawData!"&amp;ADDRESS($C$5+$A30,P$6))</f>
        <v>0</v>
      </c>
      <c r="Q30" s="1" cm="1">
        <f t="array" aca="1" ref="Q30" ca="1">INDIRECT("RawData!"&amp;ADDRESS($C$5+$A30,Q$6))</f>
        <v>0</v>
      </c>
      <c r="R30" s="1" cm="1">
        <f t="array" aca="1" ref="R30" ca="1">INDIRECT("RawData!"&amp;ADDRESS($C$5+$A30,R$6))</f>
        <v>0</v>
      </c>
      <c r="S30" s="1" cm="1">
        <f t="array" aca="1" ref="S30" ca="1">INDIRECT("RawData!"&amp;ADDRESS($C$5+$A30,S$6))</f>
        <v>0</v>
      </c>
      <c r="T30" s="1" cm="1">
        <f t="array" aca="1" ref="T30" ca="1">INDIRECT("RawData!"&amp;ADDRESS($C$5+$A30,T$6))</f>
        <v>0</v>
      </c>
      <c r="U30" s="1" cm="1">
        <f t="array" aca="1" ref="U30" ca="1">INDIRECT("RawData!"&amp;ADDRESS($C$5+$A30,U$6))</f>
        <v>0</v>
      </c>
      <c r="V30" s="1" cm="1">
        <f t="array" aca="1" ref="V30" ca="1">INDIRECT("RawData!"&amp;ADDRESS($C$5+$A30,V$6))</f>
        <v>5.3570000000000002</v>
      </c>
      <c r="W30" s="1" cm="1">
        <f t="array" aca="1" ref="W30" ca="1">INDIRECT("RawData!"&amp;ADDRESS($C$5+$A30,W$6))</f>
        <v>0.19733000000000001</v>
      </c>
      <c r="X30" s="1" cm="1">
        <f t="array" aca="1" ref="X30" ca="1">INDIRECT("RawData!"&amp;ADDRESS($C$5+$A30,X$6))</f>
        <v>3.1199999999999999E-2</v>
      </c>
      <c r="Y30" s="1" cm="1">
        <f t="array" aca="1" ref="Y30" ca="1">INDIRECT("RawData!"&amp;ADDRESS($C$5+$A30,Y$6))</f>
        <v>4.6849999999999996</v>
      </c>
      <c r="Z30" s="1" cm="1">
        <f t="array" aca="1" ref="Z30" ca="1">INDIRECT("RawData!"&amp;ADDRESS($C$5+$A30,Z$6))</f>
        <v>7.8820000000000001E-2</v>
      </c>
      <c r="AA30" s="1" cm="1">
        <f t="array" aca="1" ref="AA30" ca="1">INDIRECT("RawData!"&amp;ADDRESS($C$5+$A30,AA$6))</f>
        <v>1.2460000000000001E-2</v>
      </c>
    </row>
    <row r="31" spans="1:27" x14ac:dyDescent="0.3">
      <c r="A31" s="1">
        <v>20</v>
      </c>
      <c r="C31" s="1" t="str" cm="1">
        <f t="array" aca="1" ref="C31" ca="1">INDIRECT("RawData!A"&amp;TEXT(C$5+A31,"0"))</f>
        <v>Test1/icx_w_lu2.x</v>
      </c>
      <c r="D31" s="1" cm="1">
        <f t="array" aca="1" ref="D31" ca="1">INDIRECT("RawData!"&amp;ADDRESS($C$5+$A31,D$6))</f>
        <v>4.6109999999999998</v>
      </c>
      <c r="E31" s="1" cm="1">
        <f t="array" aca="1" ref="E31" ca="1">INDIRECT("RawData!"&amp;ADDRESS($C$5+$A31,E$6))</f>
        <v>0.3533</v>
      </c>
      <c r="F31" s="1" cm="1">
        <f t="array" aca="1" ref="F31" ca="1">INDIRECT("RawData!"&amp;ADDRESS($C$5+$A31,F$6))</f>
        <v>5.586E-2</v>
      </c>
      <c r="G31" s="1" cm="1">
        <f t="array" aca="1" ref="G31" ca="1">INDIRECT("RawData!"&amp;ADDRESS($C$5+$A31,G$6))</f>
        <v>4.18</v>
      </c>
      <c r="H31" s="1" cm="1">
        <f t="array" aca="1" ref="H31" ca="1">INDIRECT("RawData!"&amp;ADDRESS($C$5+$A31,H$6))</f>
        <v>0.30679000000000001</v>
      </c>
      <c r="I31" s="1" cm="1">
        <f t="array" aca="1" ref="I31" ca="1">INDIRECT("RawData!"&amp;ADDRESS($C$5+$A31,I$6))</f>
        <v>4.8509999999999998E-2</v>
      </c>
      <c r="J31" s="1" cm="1">
        <f t="array" aca="1" ref="J31" ca="1">INDIRECT("RawData!"&amp;ADDRESS($C$5+$A31,J$6))</f>
        <v>1.915</v>
      </c>
      <c r="K31" s="1" cm="1">
        <f t="array" aca="1" ref="K31" ca="1">INDIRECT("RawData!"&amp;ADDRESS($C$5+$A31,K$6))</f>
        <v>0.11058999999999999</v>
      </c>
      <c r="L31" s="1" cm="1">
        <f t="array" aca="1" ref="L31" ca="1">INDIRECT("RawData!"&amp;ADDRESS($C$5+$A31,L$6))</f>
        <v>1.7489999999999999E-2</v>
      </c>
      <c r="M31" s="1" cm="1">
        <f t="array" aca="1" ref="M31" ca="1">INDIRECT("RawData!"&amp;ADDRESS($C$5+$A31,M$6))</f>
        <v>1.7829999999999999</v>
      </c>
      <c r="N31" s="1" cm="1">
        <f t="array" aca="1" ref="N31" ca="1">INDIRECT("RawData!"&amp;ADDRESS($C$5+$A31,N$6))</f>
        <v>0.11486</v>
      </c>
      <c r="O31" s="1" cm="1">
        <f t="array" aca="1" ref="O31" ca="1">INDIRECT("RawData!"&amp;ADDRESS($C$5+$A31,O$6))</f>
        <v>1.8159999999999999E-2</v>
      </c>
      <c r="P31" s="1" cm="1">
        <f t="array" aca="1" ref="P31" ca="1">INDIRECT("RawData!"&amp;ADDRESS($C$5+$A31,P$6))</f>
        <v>0</v>
      </c>
      <c r="Q31" s="1" cm="1">
        <f t="array" aca="1" ref="Q31" ca="1">INDIRECT("RawData!"&amp;ADDRESS($C$5+$A31,Q$6))</f>
        <v>0</v>
      </c>
      <c r="R31" s="1" cm="1">
        <f t="array" aca="1" ref="R31" ca="1">INDIRECT("RawData!"&amp;ADDRESS($C$5+$A31,R$6))</f>
        <v>0</v>
      </c>
      <c r="S31" s="1" cm="1">
        <f t="array" aca="1" ref="S31" ca="1">INDIRECT("RawData!"&amp;ADDRESS($C$5+$A31,S$6))</f>
        <v>0</v>
      </c>
      <c r="T31" s="1" cm="1">
        <f t="array" aca="1" ref="T31" ca="1">INDIRECT("RawData!"&amp;ADDRESS($C$5+$A31,T$6))</f>
        <v>0</v>
      </c>
      <c r="U31" s="1" cm="1">
        <f t="array" aca="1" ref="U31" ca="1">INDIRECT("RawData!"&amp;ADDRESS($C$5+$A31,U$6))</f>
        <v>0</v>
      </c>
      <c r="V31" s="1" cm="1">
        <f t="array" aca="1" ref="V31" ca="1">INDIRECT("RawData!"&amp;ADDRESS($C$5+$A31,V$6))</f>
        <v>5.4279999999999999</v>
      </c>
      <c r="W31" s="1" cm="1">
        <f t="array" aca="1" ref="W31" ca="1">INDIRECT("RawData!"&amp;ADDRESS($C$5+$A31,W$6))</f>
        <v>0.19783000000000001</v>
      </c>
      <c r="X31" s="1" cm="1">
        <f t="array" aca="1" ref="X31" ca="1">INDIRECT("RawData!"&amp;ADDRESS($C$5+$A31,X$6))</f>
        <v>3.1280000000000002E-2</v>
      </c>
      <c r="Y31" s="1" cm="1">
        <f t="array" aca="1" ref="Y31" ca="1">INDIRECT("RawData!"&amp;ADDRESS($C$5+$A31,Y$6))</f>
        <v>4.6529999999999996</v>
      </c>
      <c r="Z31" s="1" cm="1">
        <f t="array" aca="1" ref="Z31" ca="1">INDIRECT("RawData!"&amp;ADDRESS($C$5+$A31,Z$6))</f>
        <v>6.3570000000000002E-2</v>
      </c>
      <c r="AA31" s="1" cm="1">
        <f t="array" aca="1" ref="AA31" ca="1">INDIRECT("RawData!"&amp;ADDRESS($C$5+$A31,AA$6))</f>
        <v>1.005E-2</v>
      </c>
    </row>
    <row r="32" spans="1:27" x14ac:dyDescent="0.3">
      <c r="A32" s="1">
        <v>21</v>
      </c>
      <c r="C32" s="1" t="str" cm="1">
        <f t="array" aca="1" ref="C32" ca="1">INDIRECT("RawData!A"&amp;TEXT(C$5+A32,"0"))</f>
        <v>Test1/icx_w_lu2_o3.x</v>
      </c>
      <c r="D32" s="1" cm="1">
        <f t="array" aca="1" ref="D32" ca="1">INDIRECT("RawData!"&amp;ADDRESS($C$5+$A32,D$6))</f>
        <v>4.5549999999999997</v>
      </c>
      <c r="E32" s="1" cm="1">
        <f t="array" aca="1" ref="E32" ca="1">INDIRECT("RawData!"&amp;ADDRESS($C$5+$A32,E$6))</f>
        <v>0.29669000000000001</v>
      </c>
      <c r="F32" s="1" cm="1">
        <f t="array" aca="1" ref="F32" ca="1">INDIRECT("RawData!"&amp;ADDRESS($C$5+$A32,F$6))</f>
        <v>4.691E-2</v>
      </c>
      <c r="G32" s="1" cm="1">
        <f t="array" aca="1" ref="G32" ca="1">INDIRECT("RawData!"&amp;ADDRESS($C$5+$A32,G$6))</f>
        <v>4.1639999999999997</v>
      </c>
      <c r="H32" s="1" cm="1">
        <f t="array" aca="1" ref="H32" ca="1">INDIRECT("RawData!"&amp;ADDRESS($C$5+$A32,H$6))</f>
        <v>0.25612000000000001</v>
      </c>
      <c r="I32" s="1" cm="1">
        <f t="array" aca="1" ref="I32" ca="1">INDIRECT("RawData!"&amp;ADDRESS($C$5+$A32,I$6))</f>
        <v>4.0500000000000001E-2</v>
      </c>
      <c r="J32" s="1" cm="1">
        <f t="array" aca="1" ref="J32" ca="1">INDIRECT("RawData!"&amp;ADDRESS($C$5+$A32,J$6))</f>
        <v>1.875</v>
      </c>
      <c r="K32" s="1" cm="1">
        <f t="array" aca="1" ref="K32" ca="1">INDIRECT("RawData!"&amp;ADDRESS($C$5+$A32,K$6))</f>
        <v>0.13599</v>
      </c>
      <c r="L32" s="1" cm="1">
        <f t="array" aca="1" ref="L32" ca="1">INDIRECT("RawData!"&amp;ADDRESS($C$5+$A32,L$6))</f>
        <v>2.1499999999999998E-2</v>
      </c>
      <c r="M32" s="1" cm="1">
        <f t="array" aca="1" ref="M32" ca="1">INDIRECT("RawData!"&amp;ADDRESS($C$5+$A32,M$6))</f>
        <v>1.897</v>
      </c>
      <c r="N32" s="1" cm="1">
        <f t="array" aca="1" ref="N32" ca="1">INDIRECT("RawData!"&amp;ADDRESS($C$5+$A32,N$6))</f>
        <v>0.13452</v>
      </c>
      <c r="O32" s="1" cm="1">
        <f t="array" aca="1" ref="O32" ca="1">INDIRECT("RawData!"&amp;ADDRESS($C$5+$A32,O$6))</f>
        <v>2.1270000000000001E-2</v>
      </c>
      <c r="P32" s="1" cm="1">
        <f t="array" aca="1" ref="P32" ca="1">INDIRECT("RawData!"&amp;ADDRESS($C$5+$A32,P$6))</f>
        <v>0</v>
      </c>
      <c r="Q32" s="1" cm="1">
        <f t="array" aca="1" ref="Q32" ca="1">INDIRECT("RawData!"&amp;ADDRESS($C$5+$A32,Q$6))</f>
        <v>0</v>
      </c>
      <c r="R32" s="1" cm="1">
        <f t="array" aca="1" ref="R32" ca="1">INDIRECT("RawData!"&amp;ADDRESS($C$5+$A32,R$6))</f>
        <v>0</v>
      </c>
      <c r="S32" s="1" cm="1">
        <f t="array" aca="1" ref="S32" ca="1">INDIRECT("RawData!"&amp;ADDRESS($C$5+$A32,S$6))</f>
        <v>0</v>
      </c>
      <c r="T32" s="1" cm="1">
        <f t="array" aca="1" ref="T32" ca="1">INDIRECT("RawData!"&amp;ADDRESS($C$5+$A32,T$6))</f>
        <v>0</v>
      </c>
      <c r="U32" s="1" cm="1">
        <f t="array" aca="1" ref="U32" ca="1">INDIRECT("RawData!"&amp;ADDRESS($C$5+$A32,U$6))</f>
        <v>0</v>
      </c>
      <c r="V32" s="1" cm="1">
        <f t="array" aca="1" ref="V32" ca="1">INDIRECT("RawData!"&amp;ADDRESS($C$5+$A32,V$6))</f>
        <v>5.266</v>
      </c>
      <c r="W32" s="1" cm="1">
        <f t="array" aca="1" ref="W32" ca="1">INDIRECT("RawData!"&amp;ADDRESS($C$5+$A32,W$6))</f>
        <v>0.11989</v>
      </c>
      <c r="X32" s="1" cm="1">
        <f t="array" aca="1" ref="X32" ca="1">INDIRECT("RawData!"&amp;ADDRESS($C$5+$A32,X$6))</f>
        <v>1.8960000000000001E-2</v>
      </c>
      <c r="Y32" s="1" cm="1">
        <f t="array" aca="1" ref="Y32" ca="1">INDIRECT("RawData!"&amp;ADDRESS($C$5+$A32,Y$6))</f>
        <v>4.6680000000000001</v>
      </c>
      <c r="Z32" s="1" cm="1">
        <f t="array" aca="1" ref="Z32" ca="1">INDIRECT("RawData!"&amp;ADDRESS($C$5+$A32,Z$6))</f>
        <v>7.3669999999999999E-2</v>
      </c>
      <c r="AA32" s="1" cm="1">
        <f t="array" aca="1" ref="AA32" ca="1">INDIRECT("RawData!"&amp;ADDRESS($C$5+$A32,AA$6))</f>
        <v>1.1650000000000001E-2</v>
      </c>
    </row>
    <row r="33" spans="1:27" x14ac:dyDescent="0.3">
      <c r="A33" s="1">
        <v>22</v>
      </c>
      <c r="C33" s="1" t="str" cm="1">
        <f t="array" aca="1" ref="C33" ca="1">INDIRECT("RawData!A"&amp;TEXT(C$5+A33,"0"))</f>
        <v>Test1/icx_w_lu4.x</v>
      </c>
      <c r="D33" s="1" cm="1">
        <f t="array" aca="1" ref="D33" ca="1">INDIRECT("RawData!"&amp;ADDRESS($C$5+$A33,D$6))</f>
        <v>4.6449999999999996</v>
      </c>
      <c r="E33" s="1" cm="1">
        <f t="array" aca="1" ref="E33" ca="1">INDIRECT("RawData!"&amp;ADDRESS($C$5+$A33,E$6))</f>
        <v>0.30696000000000001</v>
      </c>
      <c r="F33" s="1" cm="1">
        <f t="array" aca="1" ref="F33" ca="1">INDIRECT("RawData!"&amp;ADDRESS($C$5+$A33,F$6))</f>
        <v>4.8529999999999997E-2</v>
      </c>
      <c r="G33" s="1" cm="1">
        <f t="array" aca="1" ref="G33" ca="1">INDIRECT("RawData!"&amp;ADDRESS($C$5+$A33,G$6))</f>
        <v>4.1269999999999998</v>
      </c>
      <c r="H33" s="1" cm="1">
        <f t="array" aca="1" ref="H33" ca="1">INDIRECT("RawData!"&amp;ADDRESS($C$5+$A33,H$6))</f>
        <v>0.29036000000000001</v>
      </c>
      <c r="I33" s="1" cm="1">
        <f t="array" aca="1" ref="I33" ca="1">INDIRECT("RawData!"&amp;ADDRESS($C$5+$A33,I$6))</f>
        <v>4.5909999999999999E-2</v>
      </c>
      <c r="J33" s="1" cm="1">
        <f t="array" aca="1" ref="J33" ca="1">INDIRECT("RawData!"&amp;ADDRESS($C$5+$A33,J$6))</f>
        <v>1.891</v>
      </c>
      <c r="K33" s="1" cm="1">
        <f t="array" aca="1" ref="K33" ca="1">INDIRECT("RawData!"&amp;ADDRESS($C$5+$A33,K$6))</f>
        <v>0.12038</v>
      </c>
      <c r="L33" s="1" cm="1">
        <f t="array" aca="1" ref="L33" ca="1">INDIRECT("RawData!"&amp;ADDRESS($C$5+$A33,L$6))</f>
        <v>1.9029999999999998E-2</v>
      </c>
      <c r="M33" s="1" cm="1">
        <f t="array" aca="1" ref="M33" ca="1">INDIRECT("RawData!"&amp;ADDRESS($C$5+$A33,M$6))</f>
        <v>1.962</v>
      </c>
      <c r="N33" s="1" cm="1">
        <f t="array" aca="1" ref="N33" ca="1">INDIRECT("RawData!"&amp;ADDRESS($C$5+$A33,N$6))</f>
        <v>0.17338000000000001</v>
      </c>
      <c r="O33" s="1" cm="1">
        <f t="array" aca="1" ref="O33" ca="1">INDIRECT("RawData!"&amp;ADDRESS($C$5+$A33,O$6))</f>
        <v>2.741E-2</v>
      </c>
      <c r="P33" s="1" cm="1">
        <f t="array" aca="1" ref="P33" ca="1">INDIRECT("RawData!"&amp;ADDRESS($C$5+$A33,P$6))</f>
        <v>0</v>
      </c>
      <c r="Q33" s="1" cm="1">
        <f t="array" aca="1" ref="Q33" ca="1">INDIRECT("RawData!"&amp;ADDRESS($C$5+$A33,Q$6))</f>
        <v>0</v>
      </c>
      <c r="R33" s="1" cm="1">
        <f t="array" aca="1" ref="R33" ca="1">INDIRECT("RawData!"&amp;ADDRESS($C$5+$A33,R$6))</f>
        <v>0</v>
      </c>
      <c r="S33" s="1" cm="1">
        <f t="array" aca="1" ref="S33" ca="1">INDIRECT("RawData!"&amp;ADDRESS($C$5+$A33,S$6))</f>
        <v>0</v>
      </c>
      <c r="T33" s="1" cm="1">
        <f t="array" aca="1" ref="T33" ca="1">INDIRECT("RawData!"&amp;ADDRESS($C$5+$A33,T$6))</f>
        <v>0</v>
      </c>
      <c r="U33" s="1" cm="1">
        <f t="array" aca="1" ref="U33" ca="1">INDIRECT("RawData!"&amp;ADDRESS($C$5+$A33,U$6))</f>
        <v>0</v>
      </c>
      <c r="V33" s="1" cm="1">
        <f t="array" aca="1" ref="V33" ca="1">INDIRECT("RawData!"&amp;ADDRESS($C$5+$A33,V$6))</f>
        <v>5.2469999999999999</v>
      </c>
      <c r="W33" s="1" cm="1">
        <f t="array" aca="1" ref="W33" ca="1">INDIRECT("RawData!"&amp;ADDRESS($C$5+$A33,W$6))</f>
        <v>0.10377</v>
      </c>
      <c r="X33" s="1" cm="1">
        <f t="array" aca="1" ref="X33" ca="1">INDIRECT("RawData!"&amp;ADDRESS($C$5+$A33,X$6))</f>
        <v>1.6410000000000001E-2</v>
      </c>
      <c r="Y33" s="1" cm="1">
        <f t="array" aca="1" ref="Y33" ca="1">INDIRECT("RawData!"&amp;ADDRESS($C$5+$A33,Y$6))</f>
        <v>4.6539999999999999</v>
      </c>
      <c r="Z33" s="1" cm="1">
        <f t="array" aca="1" ref="Z33" ca="1">INDIRECT("RawData!"&amp;ADDRESS($C$5+$A33,Z$6))</f>
        <v>9.5030000000000003E-2</v>
      </c>
      <c r="AA33" s="1" cm="1">
        <f t="array" aca="1" ref="AA33" ca="1">INDIRECT("RawData!"&amp;ADDRESS($C$5+$A33,AA$6))</f>
        <v>1.503E-2</v>
      </c>
    </row>
    <row r="34" spans="1:27" x14ac:dyDescent="0.3">
      <c r="A34" s="1">
        <v>23</v>
      </c>
      <c r="C34" s="1" t="str" cm="1">
        <f t="array" aca="1" ref="C34" ca="1">INDIRECT("RawData!A"&amp;TEXT(C$5+A34,"0"))</f>
        <v>Test1/icx_w_lu8.x</v>
      </c>
      <c r="D34" s="1" cm="1">
        <f t="array" aca="1" ref="D34" ca="1">INDIRECT("RawData!"&amp;ADDRESS($C$5+$A34,D$6))</f>
        <v>4.5510000000000002</v>
      </c>
      <c r="E34" s="1" cm="1">
        <f t="array" aca="1" ref="E34" ca="1">INDIRECT("RawData!"&amp;ADDRESS($C$5+$A34,E$6))</f>
        <v>0.20905000000000001</v>
      </c>
      <c r="F34" s="1" cm="1">
        <f t="array" aca="1" ref="F34" ca="1">INDIRECT("RawData!"&amp;ADDRESS($C$5+$A34,F$6))</f>
        <v>3.3050000000000003E-2</v>
      </c>
      <c r="G34" s="1" cm="1">
        <f t="array" aca="1" ref="G34" ca="1">INDIRECT("RawData!"&amp;ADDRESS($C$5+$A34,G$6))</f>
        <v>4.1589999999999998</v>
      </c>
      <c r="H34" s="1" cm="1">
        <f t="array" aca="1" ref="H34" ca="1">INDIRECT("RawData!"&amp;ADDRESS($C$5+$A34,H$6))</f>
        <v>0.29116999999999998</v>
      </c>
      <c r="I34" s="1" cm="1">
        <f t="array" aca="1" ref="I34" ca="1">INDIRECT("RawData!"&amp;ADDRESS($C$5+$A34,I$6))</f>
        <v>4.6039999999999998E-2</v>
      </c>
      <c r="J34" s="1" cm="1">
        <f t="array" aca="1" ref="J34" ca="1">INDIRECT("RawData!"&amp;ADDRESS($C$5+$A34,J$6))</f>
        <v>1.8979999999999999</v>
      </c>
      <c r="K34" s="1" cm="1">
        <f t="array" aca="1" ref="K34" ca="1">INDIRECT("RawData!"&amp;ADDRESS($C$5+$A34,K$6))</f>
        <v>0.12934000000000001</v>
      </c>
      <c r="L34" s="1" cm="1">
        <f t="array" aca="1" ref="L34" ca="1">INDIRECT("RawData!"&amp;ADDRESS($C$5+$A34,L$6))</f>
        <v>2.0449999999999999E-2</v>
      </c>
      <c r="M34" s="1" cm="1">
        <f t="array" aca="1" ref="M34" ca="1">INDIRECT("RawData!"&amp;ADDRESS($C$5+$A34,M$6))</f>
        <v>1.9510000000000001</v>
      </c>
      <c r="N34" s="1" cm="1">
        <f t="array" aca="1" ref="N34" ca="1">INDIRECT("RawData!"&amp;ADDRESS($C$5+$A34,N$6))</f>
        <v>0.15051</v>
      </c>
      <c r="O34" s="1" cm="1">
        <f t="array" aca="1" ref="O34" ca="1">INDIRECT("RawData!"&amp;ADDRESS($C$5+$A34,O$6))</f>
        <v>2.3800000000000002E-2</v>
      </c>
      <c r="P34" s="1" cm="1">
        <f t="array" aca="1" ref="P34" ca="1">INDIRECT("RawData!"&amp;ADDRESS($C$5+$A34,P$6))</f>
        <v>0</v>
      </c>
      <c r="Q34" s="1" cm="1">
        <f t="array" aca="1" ref="Q34" ca="1">INDIRECT("RawData!"&amp;ADDRESS($C$5+$A34,Q$6))</f>
        <v>0</v>
      </c>
      <c r="R34" s="1" cm="1">
        <f t="array" aca="1" ref="R34" ca="1">INDIRECT("RawData!"&amp;ADDRESS($C$5+$A34,R$6))</f>
        <v>0</v>
      </c>
      <c r="S34" s="1" cm="1">
        <f t="array" aca="1" ref="S34" ca="1">INDIRECT("RawData!"&amp;ADDRESS($C$5+$A34,S$6))</f>
        <v>0</v>
      </c>
      <c r="T34" s="1" cm="1">
        <f t="array" aca="1" ref="T34" ca="1">INDIRECT("RawData!"&amp;ADDRESS($C$5+$A34,T$6))</f>
        <v>0</v>
      </c>
      <c r="U34" s="1" cm="1">
        <f t="array" aca="1" ref="U34" ca="1">INDIRECT("RawData!"&amp;ADDRESS($C$5+$A34,U$6))</f>
        <v>0</v>
      </c>
      <c r="V34" s="1" cm="1">
        <f t="array" aca="1" ref="V34" ca="1">INDIRECT("RawData!"&amp;ADDRESS($C$5+$A34,V$6))</f>
        <v>5.266</v>
      </c>
      <c r="W34" s="1" cm="1">
        <f t="array" aca="1" ref="W34" ca="1">INDIRECT("RawData!"&amp;ADDRESS($C$5+$A34,W$6))</f>
        <v>8.1930000000000003E-2</v>
      </c>
      <c r="X34" s="1" cm="1">
        <f t="array" aca="1" ref="X34" ca="1">INDIRECT("RawData!"&amp;ADDRESS($C$5+$A34,X$6))</f>
        <v>1.295E-2</v>
      </c>
      <c r="Y34" s="1" cm="1">
        <f t="array" aca="1" ref="Y34" ca="1">INDIRECT("RawData!"&amp;ADDRESS($C$5+$A34,Y$6))</f>
        <v>4.66</v>
      </c>
      <c r="Z34" s="1" cm="1">
        <f t="array" aca="1" ref="Z34" ca="1">INDIRECT("RawData!"&amp;ADDRESS($C$5+$A34,Z$6))</f>
        <v>5.9880000000000003E-2</v>
      </c>
      <c r="AA34" s="1" cm="1">
        <f t="array" aca="1" ref="AA34" ca="1">INDIRECT("RawData!"&amp;ADDRESS($C$5+$A34,AA$6))</f>
        <v>9.4699999999999993E-3</v>
      </c>
    </row>
    <row r="35" spans="1:27" x14ac:dyDescent="0.3">
      <c r="A35" s="1">
        <v>24</v>
      </c>
    </row>
    <row r="36" spans="1:27" x14ac:dyDescent="0.3">
      <c r="A36" s="1">
        <v>1</v>
      </c>
      <c r="B36" s="1">
        <v>2</v>
      </c>
      <c r="C36" s="1">
        <v>3</v>
      </c>
      <c r="D36" s="1">
        <v>4</v>
      </c>
      <c r="E36" s="1">
        <v>5</v>
      </c>
      <c r="F36" s="1">
        <v>6</v>
      </c>
      <c r="G36" s="1">
        <v>7</v>
      </c>
      <c r="H36" s="1">
        <v>8</v>
      </c>
      <c r="I36" s="1">
        <v>9</v>
      </c>
      <c r="J36" s="1">
        <v>10</v>
      </c>
      <c r="K36" s="1">
        <v>11</v>
      </c>
      <c r="L36" s="1">
        <v>12</v>
      </c>
      <c r="M36" s="1">
        <v>13</v>
      </c>
      <c r="N36" s="1">
        <v>14</v>
      </c>
      <c r="O36" s="1">
        <v>15</v>
      </c>
      <c r="P36" s="1">
        <v>16</v>
      </c>
      <c r="Q36" s="1">
        <v>17</v>
      </c>
      <c r="R36" s="1">
        <v>18</v>
      </c>
      <c r="S36" s="1">
        <v>19</v>
      </c>
      <c r="T36" s="1">
        <v>20</v>
      </c>
      <c r="U36" s="1">
        <v>21</v>
      </c>
      <c r="V36" s="1">
        <v>22</v>
      </c>
      <c r="W36" s="1">
        <v>23</v>
      </c>
      <c r="X36" s="1">
        <v>24</v>
      </c>
      <c r="Y36" s="1">
        <v>25</v>
      </c>
      <c r="Z36" s="1">
        <v>26</v>
      </c>
      <c r="AA36" s="1">
        <v>27</v>
      </c>
    </row>
    <row r="37" spans="1:27" ht="100" x14ac:dyDescent="0.3">
      <c r="C37" s="4" t="s">
        <v>140</v>
      </c>
      <c r="D37" s="3" t="s">
        <v>137</v>
      </c>
      <c r="G37" s="3" t="s">
        <v>143</v>
      </c>
      <c r="J37" s="3" t="s">
        <v>138</v>
      </c>
      <c r="M37" s="3" t="s">
        <v>144</v>
      </c>
      <c r="P37" s="3" t="s">
        <v>139</v>
      </c>
      <c r="S37" s="3" t="s">
        <v>145</v>
      </c>
      <c r="V37" s="3" t="s">
        <v>147</v>
      </c>
      <c r="Y37" s="3" t="s">
        <v>146</v>
      </c>
    </row>
    <row r="38" spans="1:27" x14ac:dyDescent="0.3">
      <c r="A38" s="1">
        <v>0</v>
      </c>
      <c r="C38" s="1" t="str">
        <f ca="1">MID(C11,FIND("/",C11)+1,1000)</f>
        <v>gfortran.x</v>
      </c>
      <c r="D38" s="1">
        <f ca="1">D11</f>
        <v>7.1449999999999996</v>
      </c>
      <c r="E38" s="1">
        <f ca="1">IF(D11=0,0,E11*100/D11)</f>
        <v>2.9002099370188943</v>
      </c>
      <c r="F38" s="1">
        <f ca="1">IF(D11=0,0,F11*100/D11)</f>
        <v>0.45850244926522044</v>
      </c>
      <c r="G38" s="1">
        <f t="shared" ref="G38:AA53" ca="1" si="0">G11</f>
        <v>7.056</v>
      </c>
      <c r="H38" s="1">
        <f t="shared" ref="H38:AA53" ca="1" si="1">IF(G11=0,0,H11*100/G11)</f>
        <v>3.0294784580498866</v>
      </c>
      <c r="I38" s="1">
        <f t="shared" ref="I38:I61" ca="1" si="2">IF(G11=0,0,I11*100/G11)</f>
        <v>0.47902494331065759</v>
      </c>
      <c r="J38" s="1">
        <f t="shared" ref="J38:AA38" ca="1" si="3">J11</f>
        <v>5.42</v>
      </c>
      <c r="K38" s="1">
        <f t="shared" ref="K38:AA38" ca="1" si="4">IF(J11=0,0,K11*100/J11)</f>
        <v>0.87878228782287826</v>
      </c>
      <c r="L38" s="1">
        <f t="shared" ref="L38:L61" ca="1" si="5">IF(J11=0,0,L11*100/J11)</f>
        <v>0.13892988929889299</v>
      </c>
      <c r="M38" s="1">
        <f t="shared" ref="M38:AA38" ca="1" si="6">M11</f>
        <v>5.4450000000000003</v>
      </c>
      <c r="N38" s="1">
        <f t="shared" ref="N38:AA38" ca="1" si="7">IF(M11=0,0,N11*100/M11)</f>
        <v>0.71772268135904482</v>
      </c>
      <c r="O38" s="1">
        <f t="shared" ref="O38:O61" ca="1" si="8">IF(M11=0,0,O11*100/M11)</f>
        <v>0.11349862258953167</v>
      </c>
      <c r="P38" s="1">
        <f t="shared" ref="P38:AA38" ca="1" si="9">P11</f>
        <v>11.936</v>
      </c>
      <c r="Q38" s="1">
        <f t="shared" ref="Q38:AA38" ca="1" si="10">IF(P11=0,0,Q11*100/P11)</f>
        <v>25.873408176943698</v>
      </c>
      <c r="R38" s="1">
        <f t="shared" ref="R38:R61" ca="1" si="11">IF(P11=0,0,R11*100/P11)</f>
        <v>4.0909852546916889</v>
      </c>
      <c r="S38" s="1">
        <f t="shared" ref="S38:AA38" ca="1" si="12">S11</f>
        <v>11.651</v>
      </c>
      <c r="T38" s="1">
        <f t="shared" ref="T38:AA38" ca="1" si="13">IF(S11=0,0,T11*100/S11)</f>
        <v>9.9457557291219629</v>
      </c>
      <c r="U38" s="1">
        <f t="shared" ref="U38:U61" ca="1" si="14">IF(S11=0,0,U11*100/S11)</f>
        <v>1.5725688782078791</v>
      </c>
      <c r="V38" s="1">
        <f t="shared" ref="V38:AA38" ca="1" si="15">V11</f>
        <v>6.5570000000000004</v>
      </c>
      <c r="W38" s="1">
        <f t="shared" ref="W38:AA38" ca="1" si="16">IF(V11=0,0,W11*100/V11)</f>
        <v>0.79182552996797317</v>
      </c>
      <c r="X38" s="1">
        <f t="shared" ref="X38:X61" ca="1" si="17">IF(V11=0,0,X11*100/V11)</f>
        <v>0.12520969955772457</v>
      </c>
      <c r="Y38" s="1">
        <f t="shared" ref="Y38:AA38" ca="1" si="18">Y11</f>
        <v>6.5750000000000002</v>
      </c>
      <c r="Z38" s="1">
        <f t="shared" ref="Z38:AA38" ca="1" si="19">IF(Y11=0,0,Z11*100/Y11)</f>
        <v>1.0888212927756653</v>
      </c>
      <c r="AA38" s="1">
        <f t="shared" ref="AA38:AA61" ca="1" si="20">IF(Y11=0,0,AA11*100/Y11)</f>
        <v>0.17216730038022815</v>
      </c>
    </row>
    <row r="39" spans="1:27" x14ac:dyDescent="0.3">
      <c r="A39" s="1">
        <v>1</v>
      </c>
      <c r="C39" s="1" t="str">
        <f t="shared" ref="C39:C61" ca="1" si="21">MID(C12,FIND("/",C12)+1,1000)</f>
        <v>gfortran_o3.x</v>
      </c>
      <c r="D39" s="1">
        <f t="shared" ref="D39:D61" ca="1" si="22">D12</f>
        <v>7.0529999999999999</v>
      </c>
      <c r="E39" s="1">
        <f t="shared" ref="E39:E61" ca="1" si="23">IF(D12=0,0,E12*100/D12)</f>
        <v>3.047497518786332</v>
      </c>
      <c r="F39" s="1">
        <f t="shared" ref="F39:F61" ca="1" si="24">IF(D12=0,0,F12*100/D12)</f>
        <v>0.48178080249539207</v>
      </c>
      <c r="G39" s="1">
        <f t="shared" ca="1" si="0"/>
        <v>6.98</v>
      </c>
      <c r="H39" s="1">
        <f t="shared" ca="1" si="1"/>
        <v>2.3008595988538678</v>
      </c>
      <c r="I39" s="1">
        <f t="shared" ca="1" si="2"/>
        <v>0.36375358166189109</v>
      </c>
      <c r="J39" s="1">
        <f t="shared" ca="1" si="0"/>
        <v>5.42</v>
      </c>
      <c r="K39" s="1">
        <f t="shared" ca="1" si="1"/>
        <v>0.5</v>
      </c>
      <c r="L39" s="1">
        <f t="shared" ca="1" si="5"/>
        <v>7.8966789667896678E-2</v>
      </c>
      <c r="M39" s="1">
        <f t="shared" ca="1" si="0"/>
        <v>5.4160000000000004</v>
      </c>
      <c r="N39" s="1">
        <f t="shared" ca="1" si="1"/>
        <v>0.5899187592319054</v>
      </c>
      <c r="O39" s="1">
        <f t="shared" ca="1" si="8"/>
        <v>9.3242245199409157E-2</v>
      </c>
      <c r="P39" s="1">
        <f t="shared" ca="1" si="0"/>
        <v>12.206</v>
      </c>
      <c r="Q39" s="1">
        <f t="shared" ca="1" si="1"/>
        <v>11.794854989349503</v>
      </c>
      <c r="R39" s="1">
        <f t="shared" ca="1" si="11"/>
        <v>1.8649025069637881</v>
      </c>
      <c r="S39" s="1">
        <f t="shared" ca="1" si="0"/>
        <v>12.534000000000001</v>
      </c>
      <c r="T39" s="1">
        <f t="shared" ca="1" si="1"/>
        <v>8.9202170097335252</v>
      </c>
      <c r="U39" s="1">
        <f t="shared" ca="1" si="14"/>
        <v>1.4104037019307483</v>
      </c>
      <c r="V39" s="1">
        <f t="shared" ca="1" si="0"/>
        <v>6.5469999999999997</v>
      </c>
      <c r="W39" s="1">
        <f t="shared" ca="1" si="1"/>
        <v>0.71437299526500686</v>
      </c>
      <c r="X39" s="1">
        <f t="shared" ca="1" si="17"/>
        <v>0.11302886818390102</v>
      </c>
      <c r="Y39" s="1">
        <f t="shared" ca="1" si="0"/>
        <v>6.5659999999999998</v>
      </c>
      <c r="Z39" s="1">
        <f t="shared" ca="1" si="1"/>
        <v>2.3189156259518735</v>
      </c>
      <c r="AA39" s="1">
        <f t="shared" ca="1" si="20"/>
        <v>0.36658544014620775</v>
      </c>
    </row>
    <row r="40" spans="1:27" x14ac:dyDescent="0.3">
      <c r="A40" s="1">
        <v>2</v>
      </c>
      <c r="C40" s="1" t="str">
        <f t="shared" ca="1" si="21"/>
        <v>gfortran_w_lu2.x</v>
      </c>
      <c r="D40" s="1">
        <f t="shared" ca="1" si="22"/>
        <v>7.1829999999999998</v>
      </c>
      <c r="E40" s="1">
        <f t="shared" ca="1" si="23"/>
        <v>2.5361269664485588</v>
      </c>
      <c r="F40" s="1">
        <f t="shared" ca="1" si="24"/>
        <v>0.40094667966030906</v>
      </c>
      <c r="G40" s="1">
        <f t="shared" ca="1" si="0"/>
        <v>7.0170000000000003</v>
      </c>
      <c r="H40" s="1">
        <f t="shared" ca="1" si="1"/>
        <v>2.1560495938435231</v>
      </c>
      <c r="I40" s="1">
        <f t="shared" ca="1" si="2"/>
        <v>0.34088641869744901</v>
      </c>
      <c r="J40" s="1">
        <f t="shared" ca="1" si="0"/>
        <v>5.423</v>
      </c>
      <c r="K40" s="1">
        <f t="shared" ca="1" si="1"/>
        <v>0.69979716024340766</v>
      </c>
      <c r="L40" s="1">
        <f t="shared" ca="1" si="5"/>
        <v>0.11063986723215932</v>
      </c>
      <c r="M40" s="1">
        <f t="shared" ca="1" si="0"/>
        <v>5.415</v>
      </c>
      <c r="N40" s="1">
        <f t="shared" ca="1" si="1"/>
        <v>0.59538319482917812</v>
      </c>
      <c r="O40" s="1">
        <f t="shared" ca="1" si="8"/>
        <v>9.4182825484764546E-2</v>
      </c>
      <c r="P40" s="1">
        <f t="shared" ca="1" si="0"/>
        <v>11.587999999999999</v>
      </c>
      <c r="Q40" s="1">
        <f t="shared" ca="1" si="1"/>
        <v>9.8230065585088031</v>
      </c>
      <c r="R40" s="1">
        <f t="shared" ca="1" si="11"/>
        <v>1.5531584397652747</v>
      </c>
      <c r="S40" s="1">
        <f t="shared" ca="1" si="0"/>
        <v>13.208</v>
      </c>
      <c r="T40" s="1">
        <f t="shared" ca="1" si="1"/>
        <v>57.392337976983647</v>
      </c>
      <c r="U40" s="1">
        <f t="shared" ca="1" si="14"/>
        <v>9.0745003028467597</v>
      </c>
      <c r="V40" s="1">
        <f t="shared" ca="1" si="0"/>
        <v>6.5259999999999998</v>
      </c>
      <c r="W40" s="1">
        <f t="shared" ca="1" si="1"/>
        <v>0.84002451731535399</v>
      </c>
      <c r="X40" s="1">
        <f t="shared" ca="1" si="17"/>
        <v>0.13285320257431812</v>
      </c>
      <c r="Y40" s="1">
        <f t="shared" ca="1" si="0"/>
        <v>6.56</v>
      </c>
      <c r="Z40" s="1">
        <f t="shared" ca="1" si="1"/>
        <v>1.6914634146341465</v>
      </c>
      <c r="AA40" s="1">
        <f t="shared" ca="1" si="20"/>
        <v>0.26737804878048782</v>
      </c>
    </row>
    <row r="41" spans="1:27" x14ac:dyDescent="0.3">
      <c r="A41" s="1">
        <v>3</v>
      </c>
      <c r="C41" s="1" t="str">
        <f t="shared" ca="1" si="21"/>
        <v>gfortran_w_lu2_o3.x</v>
      </c>
      <c r="D41" s="1">
        <f t="shared" ca="1" si="22"/>
        <v>7.2519999999999998</v>
      </c>
      <c r="E41" s="1">
        <f t="shared" ca="1" si="23"/>
        <v>2.9686982901268615</v>
      </c>
      <c r="F41" s="1">
        <f t="shared" ca="1" si="24"/>
        <v>0.46938775510204084</v>
      </c>
      <c r="G41" s="1">
        <f t="shared" ca="1" si="0"/>
        <v>7.02</v>
      </c>
      <c r="H41" s="1">
        <f t="shared" ca="1" si="1"/>
        <v>3.8457264957264958</v>
      </c>
      <c r="I41" s="1">
        <f t="shared" ca="1" si="2"/>
        <v>0.60811965811965818</v>
      </c>
      <c r="J41" s="1">
        <f t="shared" ca="1" si="0"/>
        <v>5.4009999999999998</v>
      </c>
      <c r="K41" s="1">
        <f t="shared" ca="1" si="1"/>
        <v>0.43066098870579528</v>
      </c>
      <c r="L41" s="1">
        <f t="shared" ca="1" si="5"/>
        <v>6.8135530457322721E-2</v>
      </c>
      <c r="M41" s="1">
        <f t="shared" ca="1" si="0"/>
        <v>5.4359999999999999</v>
      </c>
      <c r="N41" s="1">
        <f t="shared" ca="1" si="1"/>
        <v>0.70842531272994858</v>
      </c>
      <c r="O41" s="1">
        <f t="shared" ca="1" si="8"/>
        <v>0.1120309050772627</v>
      </c>
      <c r="P41" s="1">
        <f t="shared" ca="1" si="0"/>
        <v>11.933999999999999</v>
      </c>
      <c r="Q41" s="1">
        <f t="shared" ca="1" si="1"/>
        <v>6.6654935478464887</v>
      </c>
      <c r="R41" s="1">
        <f t="shared" ca="1" si="11"/>
        <v>1.0538796715267305</v>
      </c>
      <c r="S41" s="1">
        <f t="shared" ca="1" si="0"/>
        <v>12.683</v>
      </c>
      <c r="T41" s="1">
        <f t="shared" ca="1" si="1"/>
        <v>39.141449183947017</v>
      </c>
      <c r="U41" s="1">
        <f t="shared" ca="1" si="14"/>
        <v>6.1888354490262554</v>
      </c>
      <c r="V41" s="1">
        <f t="shared" ca="1" si="0"/>
        <v>6.5419999999999998</v>
      </c>
      <c r="W41" s="1">
        <f t="shared" ca="1" si="1"/>
        <v>0.52629165392846222</v>
      </c>
      <c r="X41" s="1">
        <f t="shared" ca="1" si="17"/>
        <v>8.3154998471415484E-2</v>
      </c>
      <c r="Y41" s="1">
        <f t="shared" ca="1" si="0"/>
        <v>6.5549999999999997</v>
      </c>
      <c r="Z41" s="1">
        <f t="shared" ca="1" si="1"/>
        <v>1.3974065598779559</v>
      </c>
      <c r="AA41" s="1">
        <f t="shared" ca="1" si="20"/>
        <v>0.22090007627765065</v>
      </c>
    </row>
    <row r="42" spans="1:27" x14ac:dyDescent="0.3">
      <c r="A42" s="1">
        <v>4</v>
      </c>
      <c r="C42" s="1" t="str">
        <f t="shared" ca="1" si="21"/>
        <v>gfortran_w_lu4.x</v>
      </c>
      <c r="D42" s="1">
        <f t="shared" ca="1" si="22"/>
        <v>7.0640000000000001</v>
      </c>
      <c r="E42" s="1">
        <f t="shared" ca="1" si="23"/>
        <v>2.8953850509626271</v>
      </c>
      <c r="F42" s="1">
        <f t="shared" ca="1" si="24"/>
        <v>0.45781426953567383</v>
      </c>
      <c r="G42" s="1">
        <f t="shared" ca="1" si="0"/>
        <v>6.9560000000000004</v>
      </c>
      <c r="H42" s="1">
        <f t="shared" ca="1" si="1"/>
        <v>2.6105520414031047</v>
      </c>
      <c r="I42" s="1">
        <f t="shared" ca="1" si="2"/>
        <v>0.41273720529039676</v>
      </c>
      <c r="J42" s="1">
        <f t="shared" ca="1" si="0"/>
        <v>5.4240000000000004</v>
      </c>
      <c r="K42" s="1">
        <f t="shared" ca="1" si="1"/>
        <v>0.64454277286135686</v>
      </c>
      <c r="L42" s="1">
        <f t="shared" ca="1" si="5"/>
        <v>0.10195427728613569</v>
      </c>
      <c r="M42" s="1">
        <f t="shared" ca="1" si="0"/>
        <v>5.444</v>
      </c>
      <c r="N42" s="1">
        <f t="shared" ca="1" si="1"/>
        <v>0.71822189566495231</v>
      </c>
      <c r="O42" s="1">
        <f t="shared" ca="1" si="8"/>
        <v>0.11351947097722263</v>
      </c>
      <c r="P42" s="1">
        <f t="shared" ca="1" si="0"/>
        <v>12.132999999999999</v>
      </c>
      <c r="Q42" s="1">
        <f t="shared" ca="1" si="1"/>
        <v>9.766092475067996</v>
      </c>
      <c r="R42" s="1">
        <f t="shared" ca="1" si="11"/>
        <v>1.5441358279073603</v>
      </c>
      <c r="S42" s="1">
        <f t="shared" ca="1" si="0"/>
        <v>12.956</v>
      </c>
      <c r="T42" s="1">
        <f t="shared" ca="1" si="1"/>
        <v>33.382834208088916</v>
      </c>
      <c r="U42" s="1">
        <f t="shared" ca="1" si="14"/>
        <v>5.2783266440259338</v>
      </c>
      <c r="V42" s="1">
        <f t="shared" ca="1" si="0"/>
        <v>6.5309999999999997</v>
      </c>
      <c r="W42" s="1">
        <f t="shared" ca="1" si="1"/>
        <v>0.69683050068902164</v>
      </c>
      <c r="X42" s="1">
        <f t="shared" ca="1" si="17"/>
        <v>0.11024345429490125</v>
      </c>
      <c r="Y42" s="1">
        <f t="shared" ca="1" si="0"/>
        <v>6.5720000000000001</v>
      </c>
      <c r="Z42" s="1">
        <f t="shared" ca="1" si="1"/>
        <v>1.1354230066950701</v>
      </c>
      <c r="AA42" s="1">
        <f t="shared" ca="1" si="20"/>
        <v>0.17954960438222761</v>
      </c>
    </row>
    <row r="43" spans="1:27" x14ac:dyDescent="0.3">
      <c r="A43" s="1">
        <v>5</v>
      </c>
      <c r="C43" s="1" t="str">
        <f t="shared" ca="1" si="21"/>
        <v>gfortran_w_lu8.x</v>
      </c>
      <c r="D43" s="1">
        <f t="shared" ca="1" si="22"/>
        <v>6.984</v>
      </c>
      <c r="E43" s="1">
        <f t="shared" ca="1" si="23"/>
        <v>2.9979954180985113</v>
      </c>
      <c r="F43" s="1">
        <f t="shared" ca="1" si="24"/>
        <v>0.47408361970217638</v>
      </c>
      <c r="G43" s="1">
        <f t="shared" ca="1" si="0"/>
        <v>7.0019999999999998</v>
      </c>
      <c r="H43" s="1">
        <f t="shared" ca="1" si="1"/>
        <v>2.9625821193944586</v>
      </c>
      <c r="I43" s="1">
        <f t="shared" ca="1" si="2"/>
        <v>0.4684375892602114</v>
      </c>
      <c r="J43" s="1">
        <f t="shared" ca="1" si="0"/>
        <v>5.4349999999999996</v>
      </c>
      <c r="K43" s="1">
        <f t="shared" ca="1" si="1"/>
        <v>0.58178472861085573</v>
      </c>
      <c r="L43" s="1">
        <f t="shared" ca="1" si="5"/>
        <v>9.1996320147194124E-2</v>
      </c>
      <c r="M43" s="1">
        <f t="shared" ca="1" si="0"/>
        <v>5.4119999999999999</v>
      </c>
      <c r="N43" s="1">
        <f t="shared" ca="1" si="1"/>
        <v>0.62767923133776793</v>
      </c>
      <c r="O43" s="1">
        <f t="shared" ca="1" si="8"/>
        <v>9.9223946784922384E-2</v>
      </c>
      <c r="P43" s="1">
        <f t="shared" ca="1" si="0"/>
        <v>12.467000000000001</v>
      </c>
      <c r="Q43" s="1">
        <f t="shared" ca="1" si="1"/>
        <v>10.596534852009304</v>
      </c>
      <c r="R43" s="1">
        <f t="shared" ca="1" si="11"/>
        <v>1.6754632229084785</v>
      </c>
      <c r="S43" s="1">
        <f t="shared" ca="1" si="0"/>
        <v>12.302</v>
      </c>
      <c r="T43" s="1">
        <f t="shared" ca="1" si="1"/>
        <v>14.671841976914322</v>
      </c>
      <c r="U43" s="1">
        <f t="shared" ca="1" si="14"/>
        <v>2.3197854007478464</v>
      </c>
      <c r="V43" s="1">
        <f t="shared" ca="1" si="0"/>
        <v>6.5119999999999996</v>
      </c>
      <c r="W43" s="1">
        <f t="shared" ca="1" si="1"/>
        <v>0.82800982800982814</v>
      </c>
      <c r="X43" s="1">
        <f t="shared" ca="1" si="17"/>
        <v>0.13098894348894349</v>
      </c>
      <c r="Y43" s="1">
        <f t="shared" ca="1" si="0"/>
        <v>6.5620000000000003</v>
      </c>
      <c r="Z43" s="1">
        <f t="shared" ca="1" si="1"/>
        <v>1.5463273392258456</v>
      </c>
      <c r="AA43" s="1">
        <f t="shared" ca="1" si="20"/>
        <v>0.24443767144163361</v>
      </c>
    </row>
    <row r="44" spans="1:27" x14ac:dyDescent="0.3">
      <c r="A44" s="1">
        <v>6</v>
      </c>
      <c r="C44" s="1" t="str">
        <f t="shared" ca="1" si="21"/>
        <v>ifx.x</v>
      </c>
      <c r="D44" s="1">
        <f t="shared" ca="1" si="22"/>
        <v>6.8</v>
      </c>
      <c r="E44" s="1">
        <f t="shared" ca="1" si="23"/>
        <v>8.2922058823529419</v>
      </c>
      <c r="F44" s="1">
        <f t="shared" ca="1" si="24"/>
        <v>1.3111764705882354</v>
      </c>
      <c r="G44" s="1">
        <f t="shared" ca="1" si="0"/>
        <v>4.2</v>
      </c>
      <c r="H44" s="1">
        <f t="shared" ca="1" si="1"/>
        <v>16.354047619047616</v>
      </c>
      <c r="I44" s="1">
        <f t="shared" ca="1" si="2"/>
        <v>2.5857142857142854</v>
      </c>
      <c r="J44" s="1">
        <f t="shared" ca="1" si="0"/>
        <v>5.4020000000000001</v>
      </c>
      <c r="K44" s="1">
        <f t="shared" ca="1" si="1"/>
        <v>0.38985560903369121</v>
      </c>
      <c r="L44" s="1">
        <f t="shared" ca="1" si="5"/>
        <v>6.164383561643836E-2</v>
      </c>
      <c r="M44" s="1">
        <f t="shared" ca="1" si="0"/>
        <v>1.92</v>
      </c>
      <c r="N44" s="1">
        <f t="shared" ca="1" si="1"/>
        <v>6.5156249999999991</v>
      </c>
      <c r="O44" s="1">
        <f t="shared" ca="1" si="8"/>
        <v>1.0302083333333334</v>
      </c>
      <c r="P44" s="1">
        <f t="shared" ca="1" si="0"/>
        <v>0</v>
      </c>
      <c r="Q44" s="1">
        <f t="shared" ca="1" si="1"/>
        <v>0</v>
      </c>
      <c r="R44" s="1">
        <f t="shared" ca="1" si="11"/>
        <v>0</v>
      </c>
      <c r="S44" s="1">
        <f t="shared" ca="1" si="0"/>
        <v>0</v>
      </c>
      <c r="T44" s="1">
        <f t="shared" ca="1" si="1"/>
        <v>0</v>
      </c>
      <c r="U44" s="1">
        <f t="shared" ca="1" si="14"/>
        <v>0</v>
      </c>
      <c r="V44" s="1">
        <f t="shared" ca="1" si="0"/>
        <v>6.5439999999999996</v>
      </c>
      <c r="W44" s="1">
        <f t="shared" ca="1" si="1"/>
        <v>0.97111858190709044</v>
      </c>
      <c r="X44" s="1">
        <f t="shared" ca="1" si="17"/>
        <v>0.15357579462102688</v>
      </c>
      <c r="Y44" s="1">
        <f t="shared" ca="1" si="0"/>
        <v>4.6420000000000003</v>
      </c>
      <c r="Z44" s="1">
        <f t="shared" ca="1" si="1"/>
        <v>1.5691512279190003</v>
      </c>
      <c r="AA44" s="1">
        <f t="shared" ca="1" si="20"/>
        <v>0.24816889271865578</v>
      </c>
    </row>
    <row r="45" spans="1:27" x14ac:dyDescent="0.3">
      <c r="A45" s="1">
        <v>7</v>
      </c>
      <c r="C45" s="1" t="str">
        <f t="shared" ca="1" si="21"/>
        <v>ifx_o3.x</v>
      </c>
      <c r="D45" s="1">
        <f t="shared" ca="1" si="22"/>
        <v>7.0250000000000004</v>
      </c>
      <c r="E45" s="1">
        <f t="shared" ca="1" si="23"/>
        <v>13.480284697508896</v>
      </c>
      <c r="F45" s="1">
        <f t="shared" ca="1" si="24"/>
        <v>2.1313879003558718</v>
      </c>
      <c r="G45" s="1">
        <f t="shared" ca="1" si="0"/>
        <v>4.0250000000000004</v>
      </c>
      <c r="H45" s="1">
        <f t="shared" ca="1" si="1"/>
        <v>32.558012422360243</v>
      </c>
      <c r="I45" s="1">
        <f t="shared" ca="1" si="2"/>
        <v>5.1478260869565213</v>
      </c>
      <c r="J45" s="1">
        <f t="shared" ca="1" si="0"/>
        <v>5.4240000000000004</v>
      </c>
      <c r="K45" s="1">
        <f t="shared" ca="1" si="1"/>
        <v>0.51161504424778759</v>
      </c>
      <c r="L45" s="1">
        <f t="shared" ca="1" si="5"/>
        <v>8.0936578171091442E-2</v>
      </c>
      <c r="M45" s="1">
        <f t="shared" ca="1" si="0"/>
        <v>1.9750000000000001</v>
      </c>
      <c r="N45" s="1">
        <f t="shared" ca="1" si="1"/>
        <v>5.4982278481012656</v>
      </c>
      <c r="O45" s="1">
        <f t="shared" ca="1" si="8"/>
        <v>0.86936708860759493</v>
      </c>
      <c r="P45" s="1">
        <f t="shared" ca="1" si="0"/>
        <v>0</v>
      </c>
      <c r="Q45" s="1">
        <f t="shared" ca="1" si="1"/>
        <v>0</v>
      </c>
      <c r="R45" s="1">
        <f t="shared" ca="1" si="11"/>
        <v>0</v>
      </c>
      <c r="S45" s="1">
        <f t="shared" ca="1" si="0"/>
        <v>0</v>
      </c>
      <c r="T45" s="1">
        <f t="shared" ca="1" si="1"/>
        <v>0</v>
      </c>
      <c r="U45" s="1">
        <f t="shared" ca="1" si="14"/>
        <v>0</v>
      </c>
      <c r="V45" s="1">
        <f t="shared" ca="1" si="0"/>
        <v>6.5739999999999998</v>
      </c>
      <c r="W45" s="1">
        <f t="shared" ca="1" si="1"/>
        <v>0.89032552479464555</v>
      </c>
      <c r="X45" s="1">
        <f t="shared" ca="1" si="17"/>
        <v>0.14070581076969882</v>
      </c>
      <c r="Y45" s="1">
        <f t="shared" ca="1" si="0"/>
        <v>4.6520000000000001</v>
      </c>
      <c r="Z45" s="1">
        <f t="shared" ca="1" si="1"/>
        <v>1.5556749785038693</v>
      </c>
      <c r="AA45" s="1">
        <f t="shared" ca="1" si="20"/>
        <v>0.24591573516766985</v>
      </c>
    </row>
    <row r="46" spans="1:27" x14ac:dyDescent="0.3">
      <c r="A46" s="1">
        <v>8</v>
      </c>
      <c r="C46" s="1" t="str">
        <f t="shared" ca="1" si="21"/>
        <v>ifx_w_lu2.x</v>
      </c>
      <c r="D46" s="1">
        <f t="shared" ca="1" si="22"/>
        <v>7.0250000000000004</v>
      </c>
      <c r="E46" s="1">
        <f t="shared" ca="1" si="23"/>
        <v>16.900640569395019</v>
      </c>
      <c r="F46" s="1">
        <f t="shared" ca="1" si="24"/>
        <v>2.6721708185053377</v>
      </c>
      <c r="G46" s="1">
        <f t="shared" ca="1" si="0"/>
        <v>4.3250000000000002</v>
      </c>
      <c r="H46" s="1">
        <f t="shared" ca="1" si="1"/>
        <v>16.87537572254335</v>
      </c>
      <c r="I46" s="1">
        <f t="shared" ca="1" si="2"/>
        <v>2.6682080924855494</v>
      </c>
      <c r="J46" s="1">
        <f t="shared" ca="1" si="0"/>
        <v>5.4059999999999997</v>
      </c>
      <c r="K46" s="1">
        <f t="shared" ca="1" si="1"/>
        <v>0.45135035146133928</v>
      </c>
      <c r="L46" s="1">
        <f t="shared" ca="1" si="5"/>
        <v>7.1402145763965974E-2</v>
      </c>
      <c r="M46" s="1">
        <f t="shared" ca="1" si="0"/>
        <v>1.9710000000000001</v>
      </c>
      <c r="N46" s="1">
        <f t="shared" ca="1" si="1"/>
        <v>5.7128361237950278</v>
      </c>
      <c r="O46" s="1">
        <f t="shared" ca="1" si="8"/>
        <v>0.90309487569761537</v>
      </c>
      <c r="P46" s="1">
        <f t="shared" ca="1" si="0"/>
        <v>0</v>
      </c>
      <c r="Q46" s="1">
        <f t="shared" ca="1" si="1"/>
        <v>0</v>
      </c>
      <c r="R46" s="1">
        <f t="shared" ca="1" si="11"/>
        <v>0</v>
      </c>
      <c r="S46" s="1">
        <f t="shared" ca="1" si="0"/>
        <v>0</v>
      </c>
      <c r="T46" s="1">
        <f t="shared" ca="1" si="1"/>
        <v>0</v>
      </c>
      <c r="U46" s="1">
        <f t="shared" ca="1" si="14"/>
        <v>0</v>
      </c>
      <c r="V46" s="1">
        <f t="shared" ca="1" si="0"/>
        <v>6.5430000000000001</v>
      </c>
      <c r="W46" s="1">
        <f t="shared" ca="1" si="1"/>
        <v>0.82576799633195785</v>
      </c>
      <c r="X46" s="1">
        <f t="shared" ca="1" si="17"/>
        <v>0.13052116766009478</v>
      </c>
      <c r="Y46" s="1">
        <f t="shared" ca="1" si="0"/>
        <v>4.641</v>
      </c>
      <c r="Z46" s="1">
        <f t="shared" ca="1" si="1"/>
        <v>1.896574014221073</v>
      </c>
      <c r="AA46" s="1">
        <f t="shared" ca="1" si="20"/>
        <v>0.29993535875888816</v>
      </c>
    </row>
    <row r="47" spans="1:27" x14ac:dyDescent="0.3">
      <c r="A47" s="1">
        <v>9</v>
      </c>
      <c r="C47" s="1" t="str">
        <f t="shared" ca="1" si="21"/>
        <v>ifx_w_lu2_o3.x</v>
      </c>
      <c r="D47" s="1">
        <f t="shared" ca="1" si="22"/>
        <v>7.1749999999999998</v>
      </c>
      <c r="E47" s="1">
        <f t="shared" ca="1" si="23"/>
        <v>14.765853658536585</v>
      </c>
      <c r="F47" s="1">
        <f t="shared" ca="1" si="24"/>
        <v>2.3346341463414633</v>
      </c>
      <c r="G47" s="1">
        <f t="shared" ca="1" si="0"/>
        <v>4.2249999999999996</v>
      </c>
      <c r="H47" s="1">
        <f t="shared" ca="1" si="1"/>
        <v>14.666508875739646</v>
      </c>
      <c r="I47" s="1">
        <f t="shared" ca="1" si="2"/>
        <v>2.3190532544378701</v>
      </c>
      <c r="J47" s="1">
        <f t="shared" ca="1" si="0"/>
        <v>5.4119999999999999</v>
      </c>
      <c r="K47" s="1">
        <f t="shared" ca="1" si="1"/>
        <v>0.55820399113082042</v>
      </c>
      <c r="L47" s="1">
        <f t="shared" ca="1" si="5"/>
        <v>8.8322246858832235E-2</v>
      </c>
      <c r="M47" s="1">
        <f t="shared" ca="1" si="0"/>
        <v>2.0150000000000001</v>
      </c>
      <c r="N47" s="1">
        <f t="shared" ca="1" si="1"/>
        <v>6.0933002481389575</v>
      </c>
      <c r="O47" s="1">
        <f t="shared" ca="1" si="8"/>
        <v>0.96327543424317619</v>
      </c>
      <c r="P47" s="1">
        <f t="shared" ca="1" si="0"/>
        <v>0</v>
      </c>
      <c r="Q47" s="1">
        <f t="shared" ca="1" si="1"/>
        <v>0</v>
      </c>
      <c r="R47" s="1">
        <f t="shared" ca="1" si="11"/>
        <v>0</v>
      </c>
      <c r="S47" s="1">
        <f t="shared" ca="1" si="0"/>
        <v>0</v>
      </c>
      <c r="T47" s="1">
        <f t="shared" ca="1" si="1"/>
        <v>0</v>
      </c>
      <c r="U47" s="1">
        <f t="shared" ca="1" si="14"/>
        <v>0</v>
      </c>
      <c r="V47" s="1">
        <f t="shared" ca="1" si="0"/>
        <v>6.5129999999999999</v>
      </c>
      <c r="W47" s="1">
        <f t="shared" ca="1" si="1"/>
        <v>0.88469215415323199</v>
      </c>
      <c r="X47" s="1">
        <f t="shared" ca="1" si="17"/>
        <v>0.13987409795793029</v>
      </c>
      <c r="Y47" s="1">
        <f t="shared" ca="1" si="0"/>
        <v>4.6310000000000002</v>
      </c>
      <c r="Z47" s="1">
        <f t="shared" ca="1" si="1"/>
        <v>1.9663139710645647</v>
      </c>
      <c r="AA47" s="1">
        <f t="shared" ca="1" si="20"/>
        <v>0.31094795940401637</v>
      </c>
    </row>
    <row r="48" spans="1:27" x14ac:dyDescent="0.3">
      <c r="A48" s="1">
        <v>10</v>
      </c>
      <c r="C48" s="1" t="str">
        <f t="shared" ca="1" si="21"/>
        <v>ifx_w_lu4.x</v>
      </c>
      <c r="D48" s="1">
        <f t="shared" ca="1" si="22"/>
        <v>6.95</v>
      </c>
      <c r="E48" s="1">
        <f t="shared" ca="1" si="23"/>
        <v>11.263741007194245</v>
      </c>
      <c r="F48" s="1">
        <f t="shared" ca="1" si="24"/>
        <v>1.7810071942446042</v>
      </c>
      <c r="G48" s="1">
        <f t="shared" ca="1" si="0"/>
        <v>3.9750000000000001</v>
      </c>
      <c r="H48" s="1">
        <f t="shared" ca="1" si="1"/>
        <v>18.449308176100629</v>
      </c>
      <c r="I48" s="1">
        <f t="shared" ca="1" si="2"/>
        <v>2.9169811320754713</v>
      </c>
      <c r="J48" s="1">
        <f t="shared" ca="1" si="0"/>
        <v>5.3949999999999996</v>
      </c>
      <c r="K48" s="1">
        <f t="shared" ca="1" si="1"/>
        <v>0.27803521779425394</v>
      </c>
      <c r="L48" s="1">
        <f t="shared" ca="1" si="5"/>
        <v>4.3929564411492129E-2</v>
      </c>
      <c r="M48" s="1">
        <f t="shared" ca="1" si="0"/>
        <v>1.9550000000000001</v>
      </c>
      <c r="N48" s="1">
        <f t="shared" ca="1" si="1"/>
        <v>6.5560102301790284</v>
      </c>
      <c r="O48" s="1">
        <f t="shared" ca="1" si="8"/>
        <v>1.0368286445012789</v>
      </c>
      <c r="P48" s="1">
        <f t="shared" ca="1" si="0"/>
        <v>0</v>
      </c>
      <c r="Q48" s="1">
        <f t="shared" ca="1" si="1"/>
        <v>0</v>
      </c>
      <c r="R48" s="1">
        <f t="shared" ca="1" si="11"/>
        <v>0</v>
      </c>
      <c r="S48" s="1">
        <f t="shared" ca="1" si="0"/>
        <v>0</v>
      </c>
      <c r="T48" s="1">
        <f t="shared" ca="1" si="1"/>
        <v>0</v>
      </c>
      <c r="U48" s="1">
        <f t="shared" ca="1" si="14"/>
        <v>0</v>
      </c>
      <c r="V48" s="1">
        <f t="shared" ca="1" si="0"/>
        <v>6.5209999999999999</v>
      </c>
      <c r="W48" s="1">
        <f t="shared" ca="1" si="1"/>
        <v>0.92209783775494558</v>
      </c>
      <c r="X48" s="1">
        <f t="shared" ca="1" si="17"/>
        <v>0.14583652813985584</v>
      </c>
      <c r="Y48" s="1">
        <f t="shared" ca="1" si="0"/>
        <v>4.6189999999999998</v>
      </c>
      <c r="Z48" s="1">
        <f t="shared" ca="1" si="1"/>
        <v>1.1439705563974887</v>
      </c>
      <c r="AA48" s="1">
        <f t="shared" ca="1" si="20"/>
        <v>0.18077505953669626</v>
      </c>
    </row>
    <row r="49" spans="1:27" x14ac:dyDescent="0.3">
      <c r="A49" s="1">
        <v>11</v>
      </c>
      <c r="C49" s="1" t="str">
        <f t="shared" ca="1" si="21"/>
        <v>ifx_w_lu8.x</v>
      </c>
      <c r="D49" s="1">
        <f t="shared" ca="1" si="22"/>
        <v>6.9249999999999998</v>
      </c>
      <c r="E49" s="1">
        <f t="shared" ca="1" si="23"/>
        <v>8.2646931407942255</v>
      </c>
      <c r="F49" s="1">
        <f t="shared" ca="1" si="24"/>
        <v>1.3067148014440433</v>
      </c>
      <c r="G49" s="1">
        <f t="shared" ca="1" si="0"/>
        <v>4.2750000000000004</v>
      </c>
      <c r="H49" s="1">
        <f t="shared" ca="1" si="1"/>
        <v>22.466432748538008</v>
      </c>
      <c r="I49" s="1">
        <f t="shared" ca="1" si="2"/>
        <v>3.5522807017543858</v>
      </c>
      <c r="J49" s="1">
        <f t="shared" ca="1" si="0"/>
        <v>5.4109999999999996</v>
      </c>
      <c r="K49" s="1">
        <f t="shared" ca="1" si="1"/>
        <v>0.60340048050267969</v>
      </c>
      <c r="L49" s="1">
        <f t="shared" ca="1" si="5"/>
        <v>9.5361301053409731E-2</v>
      </c>
      <c r="M49" s="1">
        <f t="shared" ca="1" si="0"/>
        <v>1.899</v>
      </c>
      <c r="N49" s="1">
        <f t="shared" ca="1" si="1"/>
        <v>5.0716166403370195</v>
      </c>
      <c r="O49" s="1">
        <f t="shared" ca="1" si="8"/>
        <v>0.80200105318588732</v>
      </c>
      <c r="P49" s="1">
        <f t="shared" ca="1" si="0"/>
        <v>0</v>
      </c>
      <c r="Q49" s="1">
        <f t="shared" ca="1" si="1"/>
        <v>0</v>
      </c>
      <c r="R49" s="1">
        <f t="shared" ca="1" si="11"/>
        <v>0</v>
      </c>
      <c r="S49" s="1">
        <f t="shared" ca="1" si="0"/>
        <v>0</v>
      </c>
      <c r="T49" s="1">
        <f t="shared" ca="1" si="1"/>
        <v>0</v>
      </c>
      <c r="U49" s="1">
        <f t="shared" ca="1" si="14"/>
        <v>0</v>
      </c>
      <c r="V49" s="1">
        <f t="shared" ca="1" si="0"/>
        <v>6.5259999999999998</v>
      </c>
      <c r="W49" s="1">
        <f t="shared" ca="1" si="1"/>
        <v>0.92874655225252833</v>
      </c>
      <c r="X49" s="1">
        <f t="shared" ca="1" si="17"/>
        <v>0.14679742568188783</v>
      </c>
      <c r="Y49" s="1">
        <f t="shared" ca="1" si="0"/>
        <v>4.6180000000000003</v>
      </c>
      <c r="Z49" s="1">
        <f t="shared" ca="1" si="1"/>
        <v>1.5313988739714164</v>
      </c>
      <c r="AA49" s="1">
        <f t="shared" ca="1" si="20"/>
        <v>0.24209614551754008</v>
      </c>
    </row>
    <row r="50" spans="1:27" x14ac:dyDescent="0.3">
      <c r="A50" s="1">
        <v>12</v>
      </c>
      <c r="C50" s="1" t="str">
        <f t="shared" ca="1" si="21"/>
        <v>gpp.x</v>
      </c>
      <c r="D50" s="1">
        <f t="shared" ca="1" si="22"/>
        <v>7.06</v>
      </c>
      <c r="E50" s="1">
        <f t="shared" ca="1" si="23"/>
        <v>2.6315864022662891</v>
      </c>
      <c r="F50" s="1">
        <f t="shared" ca="1" si="24"/>
        <v>0.41614730878186973</v>
      </c>
      <c r="G50" s="1">
        <f t="shared" ca="1" si="0"/>
        <v>7.2329999999999997</v>
      </c>
      <c r="H50" s="1">
        <f t="shared" ca="1" si="1"/>
        <v>2.8354762892299186</v>
      </c>
      <c r="I50" s="1">
        <f t="shared" ca="1" si="2"/>
        <v>0.44836167565325591</v>
      </c>
      <c r="J50" s="1">
        <f t="shared" ca="1" si="0"/>
        <v>32.329000000000001</v>
      </c>
      <c r="K50" s="1">
        <f t="shared" ca="1" si="1"/>
        <v>0.25518883974140866</v>
      </c>
      <c r="L50" s="1">
        <f t="shared" ca="1" si="5"/>
        <v>4.0335302669429925E-2</v>
      </c>
      <c r="M50" s="1">
        <f t="shared" ca="1" si="0"/>
        <v>26.992000000000001</v>
      </c>
      <c r="N50" s="1">
        <f t="shared" ca="1" si="1"/>
        <v>0.47769709543568462</v>
      </c>
      <c r="O50" s="1">
        <f t="shared" ca="1" si="8"/>
        <v>7.5540901007705968E-2</v>
      </c>
      <c r="P50" s="1">
        <f t="shared" ca="1" si="0"/>
        <v>12.544</v>
      </c>
      <c r="Q50" s="1">
        <f t="shared" ca="1" si="1"/>
        <v>10.502391581632653</v>
      </c>
      <c r="R50" s="1">
        <f t="shared" ca="1" si="11"/>
        <v>1.6605548469387756</v>
      </c>
      <c r="S50" s="1">
        <f t="shared" ca="1" si="0"/>
        <v>12.734999999999999</v>
      </c>
      <c r="T50" s="1">
        <f t="shared" ca="1" si="1"/>
        <v>11.588535531998431</v>
      </c>
      <c r="U50" s="1">
        <f t="shared" ca="1" si="14"/>
        <v>1.8322732626619553</v>
      </c>
      <c r="V50" s="1">
        <f t="shared" ca="1" si="0"/>
        <v>18.759</v>
      </c>
      <c r="W50" s="1">
        <f t="shared" ca="1" si="1"/>
        <v>0.45338237645929957</v>
      </c>
      <c r="X50" s="1">
        <f t="shared" ca="1" si="17"/>
        <v>7.1698917852763999E-2</v>
      </c>
      <c r="Y50" s="1">
        <f t="shared" ca="1" si="0"/>
        <v>18.765000000000001</v>
      </c>
      <c r="Z50" s="1">
        <f t="shared" ca="1" si="1"/>
        <v>0.41316280309086062</v>
      </c>
      <c r="AA50" s="1">
        <f t="shared" ca="1" si="20"/>
        <v>6.5334399147348787E-2</v>
      </c>
    </row>
    <row r="51" spans="1:27" x14ac:dyDescent="0.3">
      <c r="A51" s="1">
        <v>13</v>
      </c>
      <c r="C51" s="1" t="str">
        <f t="shared" ca="1" si="21"/>
        <v>gpp_o3.x</v>
      </c>
      <c r="D51" s="1">
        <f t="shared" ca="1" si="22"/>
        <v>7.1559999999999997</v>
      </c>
      <c r="E51" s="1">
        <f t="shared" ca="1" si="23"/>
        <v>3.8610955841252097</v>
      </c>
      <c r="F51" s="1">
        <f t="shared" ca="1" si="24"/>
        <v>0.61053661263275572</v>
      </c>
      <c r="G51" s="1">
        <f t="shared" ca="1" si="0"/>
        <v>7.093</v>
      </c>
      <c r="H51" s="1">
        <f t="shared" ca="1" si="1"/>
        <v>3.8339207669533346</v>
      </c>
      <c r="I51" s="1">
        <f t="shared" ca="1" si="2"/>
        <v>0.60623149584096991</v>
      </c>
      <c r="J51" s="1">
        <f t="shared" ca="1" si="0"/>
        <v>18.843</v>
      </c>
      <c r="K51" s="1">
        <f t="shared" ca="1" si="1"/>
        <v>0.26301544340073241</v>
      </c>
      <c r="L51" s="1">
        <f t="shared" ca="1" si="5"/>
        <v>4.1606962797855966E-2</v>
      </c>
      <c r="M51" s="1">
        <f t="shared" ca="1" si="0"/>
        <v>8.0920000000000005</v>
      </c>
      <c r="N51" s="1">
        <f t="shared" ca="1" si="1"/>
        <v>0.46675729115175474</v>
      </c>
      <c r="O51" s="1">
        <f t="shared" ca="1" si="8"/>
        <v>7.3776569451309934E-2</v>
      </c>
      <c r="P51" s="1">
        <f t="shared" ca="1" si="0"/>
        <v>12.518000000000001</v>
      </c>
      <c r="Q51" s="1">
        <f t="shared" ca="1" si="1"/>
        <v>11.208020450551205</v>
      </c>
      <c r="R51" s="1">
        <f t="shared" ca="1" si="11"/>
        <v>1.7721680779677265</v>
      </c>
      <c r="S51" s="1">
        <f t="shared" ca="1" si="0"/>
        <v>11.769</v>
      </c>
      <c r="T51" s="1">
        <f t="shared" ca="1" si="1"/>
        <v>13.829382275469454</v>
      </c>
      <c r="U51" s="1">
        <f t="shared" ca="1" si="14"/>
        <v>2.1865918939587052</v>
      </c>
      <c r="V51" s="1">
        <f t="shared" ca="1" si="0"/>
        <v>12.528</v>
      </c>
      <c r="W51" s="1">
        <f t="shared" ca="1" si="1"/>
        <v>0.57335568326947639</v>
      </c>
      <c r="X51" s="1">
        <f t="shared" ca="1" si="17"/>
        <v>9.0676883780332063E-2</v>
      </c>
      <c r="Y51" s="1">
        <f t="shared" ca="1" si="0"/>
        <v>9.6219999999999999</v>
      </c>
      <c r="Z51" s="1">
        <f t="shared" ca="1" si="1"/>
        <v>0.94315111203491986</v>
      </c>
      <c r="AA51" s="1">
        <f t="shared" ca="1" si="20"/>
        <v>0.14913739347329039</v>
      </c>
    </row>
    <row r="52" spans="1:27" x14ac:dyDescent="0.3">
      <c r="A52" s="1">
        <v>14</v>
      </c>
      <c r="C52" s="1" t="str">
        <f t="shared" ca="1" si="21"/>
        <v>gpp_w_lu2.x</v>
      </c>
      <c r="D52" s="1">
        <f t="shared" ca="1" si="22"/>
        <v>5.0640000000000001</v>
      </c>
      <c r="E52" s="1">
        <f t="shared" ca="1" si="23"/>
        <v>5.5537124802527646</v>
      </c>
      <c r="F52" s="1">
        <f t="shared" ca="1" si="24"/>
        <v>0.87815955766192733</v>
      </c>
      <c r="G52" s="1">
        <f t="shared" ca="1" si="0"/>
        <v>5.1130000000000004</v>
      </c>
      <c r="H52" s="1">
        <f t="shared" ca="1" si="1"/>
        <v>5.5626833561509876</v>
      </c>
      <c r="I52" s="1">
        <f t="shared" ca="1" si="2"/>
        <v>0.87952278505769599</v>
      </c>
      <c r="J52" s="1">
        <f t="shared" ca="1" si="0"/>
        <v>2.7879999999999998</v>
      </c>
      <c r="K52" s="1">
        <f t="shared" ca="1" si="1"/>
        <v>2.8081061692969871</v>
      </c>
      <c r="L52" s="1">
        <f t="shared" ca="1" si="5"/>
        <v>0.44404591104734581</v>
      </c>
      <c r="M52" s="1">
        <f t="shared" ca="1" si="0"/>
        <v>2.76</v>
      </c>
      <c r="N52" s="1">
        <f t="shared" ca="1" si="1"/>
        <v>2.2532608695652177</v>
      </c>
      <c r="O52" s="1">
        <f t="shared" ca="1" si="8"/>
        <v>0.35615942028985509</v>
      </c>
      <c r="P52" s="1">
        <f t="shared" ca="1" si="0"/>
        <v>5.92</v>
      </c>
      <c r="Q52" s="1">
        <f t="shared" ca="1" si="1"/>
        <v>16.763513513513512</v>
      </c>
      <c r="R52" s="1">
        <f t="shared" ca="1" si="11"/>
        <v>2.6505067567567564</v>
      </c>
      <c r="S52" s="1">
        <f t="shared" ca="1" si="0"/>
        <v>6.9770000000000003</v>
      </c>
      <c r="T52" s="1">
        <f t="shared" ca="1" si="1"/>
        <v>13.901246954278344</v>
      </c>
      <c r="U52" s="1">
        <f t="shared" ca="1" si="14"/>
        <v>2.1979360756772248</v>
      </c>
      <c r="V52" s="1">
        <f t="shared" ca="1" si="0"/>
        <v>6.0579999999999998</v>
      </c>
      <c r="W52" s="1">
        <f t="shared" ca="1" si="1"/>
        <v>3.0993727302740179</v>
      </c>
      <c r="X52" s="1">
        <f t="shared" ca="1" si="17"/>
        <v>0.49009574116870258</v>
      </c>
      <c r="Y52" s="1">
        <f t="shared" ca="1" si="0"/>
        <v>6.0069999999999997</v>
      </c>
      <c r="Z52" s="1">
        <f t="shared" ca="1" si="1"/>
        <v>1.816214416514067</v>
      </c>
      <c r="AA52" s="1">
        <f t="shared" ca="1" si="20"/>
        <v>0.28716497419677045</v>
      </c>
    </row>
    <row r="53" spans="1:27" x14ac:dyDescent="0.3">
      <c r="A53" s="1">
        <v>15</v>
      </c>
      <c r="C53" s="1" t="str">
        <f t="shared" ca="1" si="21"/>
        <v>gpp_w_lu2_o3.x</v>
      </c>
      <c r="D53" s="1">
        <f t="shared" ca="1" si="22"/>
        <v>5.048</v>
      </c>
      <c r="E53" s="1">
        <f t="shared" ca="1" si="23"/>
        <v>5.6509508716323298</v>
      </c>
      <c r="F53" s="1">
        <f t="shared" ca="1" si="24"/>
        <v>0.89342313787638661</v>
      </c>
      <c r="G53" s="1">
        <f t="shared" ca="1" si="0"/>
        <v>5.2960000000000003</v>
      </c>
      <c r="H53" s="1">
        <f t="shared" ca="1" si="1"/>
        <v>6.0842145015105737</v>
      </c>
      <c r="I53" s="1">
        <f t="shared" ca="1" si="2"/>
        <v>0.96204682779456197</v>
      </c>
      <c r="J53" s="1">
        <f t="shared" ca="1" si="0"/>
        <v>2.786</v>
      </c>
      <c r="K53" s="1">
        <f t="shared" ca="1" si="1"/>
        <v>2.5653266331658293</v>
      </c>
      <c r="L53" s="1">
        <f t="shared" ca="1" si="5"/>
        <v>0.40559942569992818</v>
      </c>
      <c r="M53" s="1">
        <f t="shared" ca="1" si="0"/>
        <v>2.7890000000000001</v>
      </c>
      <c r="N53" s="1">
        <f t="shared" ca="1" si="1"/>
        <v>2.4403011832197916</v>
      </c>
      <c r="O53" s="1">
        <f t="shared" ca="1" si="8"/>
        <v>0.38580136249551811</v>
      </c>
      <c r="P53" s="1">
        <f t="shared" ca="1" si="0"/>
        <v>6.601</v>
      </c>
      <c r="Q53" s="1">
        <f t="shared" ca="1" si="1"/>
        <v>11.041508862293593</v>
      </c>
      <c r="R53" s="1">
        <f t="shared" ca="1" si="11"/>
        <v>1.7457960915012876</v>
      </c>
      <c r="S53" s="1">
        <f t="shared" ca="1" si="0"/>
        <v>6.7919999999999998</v>
      </c>
      <c r="T53" s="1">
        <f t="shared" ca="1" si="1"/>
        <v>8.0060365135453466</v>
      </c>
      <c r="U53" s="1">
        <f t="shared" ca="1" si="14"/>
        <v>1.2659010600706715</v>
      </c>
      <c r="V53" s="1">
        <f t="shared" ca="1" si="0"/>
        <v>6.1310000000000002</v>
      </c>
      <c r="W53" s="1">
        <f t="shared" ca="1" si="1"/>
        <v>3.8373837873103898</v>
      </c>
      <c r="X53" s="1">
        <f t="shared" ca="1" si="17"/>
        <v>0.60675256891208607</v>
      </c>
      <c r="Y53" s="1">
        <f t="shared" ca="1" si="0"/>
        <v>6.01</v>
      </c>
      <c r="Z53" s="1">
        <f t="shared" ca="1" si="1"/>
        <v>2.2016638935108155</v>
      </c>
      <c r="AA53" s="1">
        <f t="shared" ca="1" si="20"/>
        <v>0.34808652246256244</v>
      </c>
    </row>
    <row r="54" spans="1:27" x14ac:dyDescent="0.3">
      <c r="A54" s="1">
        <v>16</v>
      </c>
      <c r="C54" s="1" t="str">
        <f t="shared" ca="1" si="21"/>
        <v>gpp_w_lu4.x</v>
      </c>
      <c r="D54" s="1">
        <f t="shared" ca="1" si="22"/>
        <v>4.9530000000000003</v>
      </c>
      <c r="E54" s="1">
        <f t="shared" ca="1" si="23"/>
        <v>7.8501918029477071</v>
      </c>
      <c r="F54" s="1">
        <f t="shared" ca="1" si="24"/>
        <v>1.2412679184332727</v>
      </c>
      <c r="G54" s="1">
        <f t="shared" ref="G54:AA61" ca="1" si="25">G27</f>
        <v>4.952</v>
      </c>
      <c r="H54" s="1">
        <f t="shared" ref="H54:AA61" ca="1" si="26">IF(G27=0,0,H27*100/G27)</f>
        <v>6.0036348949919223</v>
      </c>
      <c r="I54" s="1">
        <f t="shared" ca="1" si="2"/>
        <v>0.94931340872374814</v>
      </c>
      <c r="J54" s="1">
        <f t="shared" ref="J54:AA61" ca="1" si="27">J27</f>
        <v>2.0190000000000001</v>
      </c>
      <c r="K54" s="1">
        <f t="shared" ref="K54:AA61" ca="1" si="28">IF(J27=0,0,K27*100/J27)</f>
        <v>5.6245666171371962</v>
      </c>
      <c r="L54" s="1">
        <f t="shared" ca="1" si="5"/>
        <v>0.88905398712233785</v>
      </c>
      <c r="M54" s="1">
        <f t="shared" ref="M54:AA61" ca="1" si="29">M27</f>
        <v>1.992</v>
      </c>
      <c r="N54" s="1">
        <f t="shared" ref="N54:AA61" ca="1" si="30">IF(M27=0,0,N27*100/M27)</f>
        <v>4.1290160642570282</v>
      </c>
      <c r="O54" s="1">
        <f t="shared" ca="1" si="8"/>
        <v>0.65311244979919691</v>
      </c>
      <c r="P54" s="1">
        <f t="shared" ref="P54:AA61" ca="1" si="31">P27</f>
        <v>4.0659999999999998</v>
      </c>
      <c r="Q54" s="1">
        <f t="shared" ref="Q54:AA61" ca="1" si="32">IF(P27=0,0,Q27*100/P27)</f>
        <v>15.229709788489917</v>
      </c>
      <c r="R54" s="1">
        <f t="shared" ca="1" si="11"/>
        <v>2.4080177078209544</v>
      </c>
      <c r="S54" s="1">
        <f t="shared" ref="S54:AA61" ca="1" si="33">S27</f>
        <v>4.3710000000000004</v>
      </c>
      <c r="T54" s="1">
        <f t="shared" ref="T54:AA61" ca="1" si="34">IF(S27=0,0,T27*100/S27)</f>
        <v>33.204987417067031</v>
      </c>
      <c r="U54" s="1">
        <f t="shared" ca="1" si="14"/>
        <v>5.2502859757492564</v>
      </c>
      <c r="V54" s="1">
        <f t="shared" ref="V54:AA61" ca="1" si="35">V27</f>
        <v>5.7750000000000004</v>
      </c>
      <c r="W54" s="1">
        <f t="shared" ref="W54:AA61" ca="1" si="36">IF(V27=0,0,W27*100/V27)</f>
        <v>4.3267532467532472</v>
      </c>
      <c r="X54" s="1">
        <f t="shared" ca="1" si="17"/>
        <v>0.68415584415584418</v>
      </c>
      <c r="Y54" s="1">
        <f t="shared" ref="Y54:AA61" ca="1" si="37">Y27</f>
        <v>5.6639999999999997</v>
      </c>
      <c r="Z54" s="1">
        <f t="shared" ref="Z54:AA61" ca="1" si="38">IF(Y27=0,0,Z27*100/Y27)</f>
        <v>2.0817443502824862</v>
      </c>
      <c r="AA54" s="1">
        <f t="shared" ca="1" si="20"/>
        <v>0.32909604519774016</v>
      </c>
    </row>
    <row r="55" spans="1:27" x14ac:dyDescent="0.3">
      <c r="A55" s="1">
        <v>17</v>
      </c>
      <c r="C55" s="1" t="str">
        <f t="shared" ca="1" si="21"/>
        <v>gpp_w_lu8.x</v>
      </c>
      <c r="D55" s="1">
        <f t="shared" ca="1" si="22"/>
        <v>4.8540000000000001</v>
      </c>
      <c r="E55" s="1">
        <f t="shared" ca="1" si="23"/>
        <v>7.0053564070869383</v>
      </c>
      <c r="F55" s="1">
        <f t="shared" ca="1" si="24"/>
        <v>1.107540173053152</v>
      </c>
      <c r="G55" s="1">
        <f t="shared" ca="1" si="25"/>
        <v>4.9770000000000003</v>
      </c>
      <c r="H55" s="1">
        <f t="shared" ca="1" si="26"/>
        <v>7.7064496684749839</v>
      </c>
      <c r="I55" s="1">
        <f t="shared" ca="1" si="2"/>
        <v>1.2186055856941933</v>
      </c>
      <c r="J55" s="1">
        <f t="shared" ca="1" si="27"/>
        <v>1.9610000000000001</v>
      </c>
      <c r="K55" s="1">
        <f t="shared" ca="1" si="28"/>
        <v>5.7419683834778175</v>
      </c>
      <c r="L55" s="1">
        <f t="shared" ca="1" si="5"/>
        <v>0.90770015298317186</v>
      </c>
      <c r="M55" s="1">
        <f t="shared" ca="1" si="29"/>
        <v>1.956</v>
      </c>
      <c r="N55" s="1">
        <f t="shared" ca="1" si="30"/>
        <v>4.3011247443762786</v>
      </c>
      <c r="O55" s="1">
        <f t="shared" ca="1" si="8"/>
        <v>0.6799591002044989</v>
      </c>
      <c r="P55" s="1">
        <f t="shared" ca="1" si="31"/>
        <v>3.1619999999999999</v>
      </c>
      <c r="Q55" s="1">
        <f t="shared" ca="1" si="32"/>
        <v>21.059772296015179</v>
      </c>
      <c r="R55" s="1">
        <f t="shared" ca="1" si="11"/>
        <v>3.3298545224541432</v>
      </c>
      <c r="S55" s="1">
        <f t="shared" ca="1" si="33"/>
        <v>3.7970000000000002</v>
      </c>
      <c r="T55" s="1">
        <f t="shared" ca="1" si="34"/>
        <v>75.081380036871209</v>
      </c>
      <c r="U55" s="1">
        <f t="shared" ca="1" si="14"/>
        <v>11.871477482222808</v>
      </c>
      <c r="V55" s="1">
        <f t="shared" ca="1" si="35"/>
        <v>5.75</v>
      </c>
      <c r="W55" s="1">
        <f t="shared" ca="1" si="36"/>
        <v>4.3643478260869566</v>
      </c>
      <c r="X55" s="1">
        <f t="shared" ca="1" si="17"/>
        <v>0.69008695652173913</v>
      </c>
      <c r="Y55" s="1">
        <f t="shared" ca="1" si="37"/>
        <v>5.6139999999999999</v>
      </c>
      <c r="Z55" s="1">
        <f t="shared" ca="1" si="38"/>
        <v>1.8965087281795512</v>
      </c>
      <c r="AA55" s="1">
        <f t="shared" ca="1" si="20"/>
        <v>0.29978624866405418</v>
      </c>
    </row>
    <row r="56" spans="1:27" x14ac:dyDescent="0.3">
      <c r="A56" s="1">
        <v>18</v>
      </c>
      <c r="C56" s="1" t="str">
        <f t="shared" ca="1" si="21"/>
        <v>icx.x</v>
      </c>
      <c r="D56" s="1">
        <f t="shared" ca="1" si="22"/>
        <v>4.6360000000000001</v>
      </c>
      <c r="E56" s="1">
        <f t="shared" ca="1" si="23"/>
        <v>7.0040983606557372</v>
      </c>
      <c r="F56" s="1">
        <f t="shared" ca="1" si="24"/>
        <v>1.1074201898188092</v>
      </c>
      <c r="G56" s="1">
        <f t="shared" ca="1" si="25"/>
        <v>4.16</v>
      </c>
      <c r="H56" s="1">
        <f t="shared" ca="1" si="26"/>
        <v>5.5822115384615385</v>
      </c>
      <c r="I56" s="1">
        <f t="shared" ca="1" si="2"/>
        <v>0.88269230769230766</v>
      </c>
      <c r="J56" s="1">
        <f t="shared" ca="1" si="27"/>
        <v>1.8939999999999999</v>
      </c>
      <c r="K56" s="1">
        <f t="shared" ca="1" si="28"/>
        <v>8.0100316789862731</v>
      </c>
      <c r="L56" s="1">
        <f t="shared" ca="1" si="5"/>
        <v>1.2666314677930306</v>
      </c>
      <c r="M56" s="1">
        <f t="shared" ca="1" si="29"/>
        <v>1.893</v>
      </c>
      <c r="N56" s="1">
        <f t="shared" ca="1" si="30"/>
        <v>7.8668779714738504</v>
      </c>
      <c r="O56" s="1">
        <f t="shared" ca="1" si="8"/>
        <v>1.2440570522979397</v>
      </c>
      <c r="P56" s="1">
        <f t="shared" ca="1" si="31"/>
        <v>0</v>
      </c>
      <c r="Q56" s="1">
        <f t="shared" ca="1" si="32"/>
        <v>0</v>
      </c>
      <c r="R56" s="1">
        <f t="shared" ca="1" si="11"/>
        <v>0</v>
      </c>
      <c r="S56" s="1">
        <f t="shared" ca="1" si="33"/>
        <v>0</v>
      </c>
      <c r="T56" s="1">
        <f t="shared" ca="1" si="34"/>
        <v>0</v>
      </c>
      <c r="U56" s="1">
        <f t="shared" ca="1" si="14"/>
        <v>0</v>
      </c>
      <c r="V56" s="1">
        <f t="shared" ca="1" si="35"/>
        <v>5.47</v>
      </c>
      <c r="W56" s="1">
        <f t="shared" ca="1" si="36"/>
        <v>4.1712979890310784</v>
      </c>
      <c r="X56" s="1">
        <f t="shared" ca="1" si="17"/>
        <v>0.65959780621572217</v>
      </c>
      <c r="Y56" s="1">
        <f t="shared" ca="1" si="37"/>
        <v>4.6909999999999998</v>
      </c>
      <c r="Z56" s="1">
        <f t="shared" ca="1" si="38"/>
        <v>1.628863781709657</v>
      </c>
      <c r="AA56" s="1">
        <f t="shared" ca="1" si="20"/>
        <v>0.25751438925602216</v>
      </c>
    </row>
    <row r="57" spans="1:27" x14ac:dyDescent="0.3">
      <c r="A57" s="1">
        <v>19</v>
      </c>
      <c r="C57" s="1" t="str">
        <f t="shared" ca="1" si="21"/>
        <v>icx_o3.x</v>
      </c>
      <c r="D57" s="1">
        <f t="shared" ca="1" si="22"/>
        <v>4.5919999999999996</v>
      </c>
      <c r="E57" s="1">
        <f t="shared" ca="1" si="23"/>
        <v>8.6574477351916386</v>
      </c>
      <c r="F57" s="1">
        <f t="shared" ca="1" si="24"/>
        <v>1.3689024390243902</v>
      </c>
      <c r="G57" s="1">
        <f t="shared" ca="1" si="25"/>
        <v>4.21</v>
      </c>
      <c r="H57" s="1">
        <f t="shared" ca="1" si="26"/>
        <v>8.5016627078384808</v>
      </c>
      <c r="I57" s="1">
        <f t="shared" ca="1" si="2"/>
        <v>1.3441805225653207</v>
      </c>
      <c r="J57" s="1">
        <f t="shared" ca="1" si="27"/>
        <v>1.9279999999999999</v>
      </c>
      <c r="K57" s="1">
        <f t="shared" ca="1" si="28"/>
        <v>6.2525933609958511</v>
      </c>
      <c r="L57" s="1">
        <f t="shared" ca="1" si="5"/>
        <v>0.98858921161825741</v>
      </c>
      <c r="M57" s="1">
        <f t="shared" ca="1" si="29"/>
        <v>1.86</v>
      </c>
      <c r="N57" s="1">
        <f t="shared" ca="1" si="30"/>
        <v>6.6779569892473107</v>
      </c>
      <c r="O57" s="1">
        <f t="shared" ca="1" si="8"/>
        <v>1.0559139784946237</v>
      </c>
      <c r="P57" s="1">
        <f t="shared" ca="1" si="31"/>
        <v>0</v>
      </c>
      <c r="Q57" s="1">
        <f t="shared" ca="1" si="32"/>
        <v>0</v>
      </c>
      <c r="R57" s="1">
        <f t="shared" ca="1" si="11"/>
        <v>0</v>
      </c>
      <c r="S57" s="1">
        <f t="shared" ca="1" si="33"/>
        <v>0</v>
      </c>
      <c r="T57" s="1">
        <f t="shared" ca="1" si="34"/>
        <v>0</v>
      </c>
      <c r="U57" s="1">
        <f t="shared" ca="1" si="14"/>
        <v>0</v>
      </c>
      <c r="V57" s="1">
        <f t="shared" ca="1" si="35"/>
        <v>5.3570000000000002</v>
      </c>
      <c r="W57" s="1">
        <f t="shared" ca="1" si="36"/>
        <v>3.6835915624416651</v>
      </c>
      <c r="X57" s="1">
        <f t="shared" ca="1" si="17"/>
        <v>0.58241553108082877</v>
      </c>
      <c r="Y57" s="1">
        <f t="shared" ca="1" si="37"/>
        <v>4.6849999999999996</v>
      </c>
      <c r="Z57" s="1">
        <f t="shared" ca="1" si="38"/>
        <v>1.6823906083244398</v>
      </c>
      <c r="AA57" s="1">
        <f t="shared" ca="1" si="20"/>
        <v>0.26595517609391678</v>
      </c>
    </row>
    <row r="58" spans="1:27" x14ac:dyDescent="0.3">
      <c r="A58" s="1">
        <v>20</v>
      </c>
      <c r="C58" s="1" t="str">
        <f t="shared" ca="1" si="21"/>
        <v>icx_w_lu2.x</v>
      </c>
      <c r="D58" s="1">
        <f t="shared" ca="1" si="22"/>
        <v>4.6109999999999998</v>
      </c>
      <c r="E58" s="1">
        <f t="shared" ca="1" si="23"/>
        <v>7.6621123400563871</v>
      </c>
      <c r="F58" s="1">
        <f t="shared" ca="1" si="24"/>
        <v>1.2114508783344178</v>
      </c>
      <c r="G58" s="1">
        <f t="shared" ca="1" si="25"/>
        <v>4.18</v>
      </c>
      <c r="H58" s="1">
        <f t="shared" ca="1" si="26"/>
        <v>7.3394736842105273</v>
      </c>
      <c r="I58" s="1">
        <f t="shared" ca="1" si="2"/>
        <v>1.1605263157894739</v>
      </c>
      <c r="J58" s="1">
        <f t="shared" ca="1" si="27"/>
        <v>1.915</v>
      </c>
      <c r="K58" s="1">
        <f t="shared" ca="1" si="28"/>
        <v>5.7749347258485635</v>
      </c>
      <c r="L58" s="1">
        <f t="shared" ca="1" si="5"/>
        <v>0.91331592689295027</v>
      </c>
      <c r="M58" s="1">
        <f t="shared" ca="1" si="29"/>
        <v>1.7829999999999999</v>
      </c>
      <c r="N58" s="1">
        <f t="shared" ca="1" si="30"/>
        <v>6.4419517666853627</v>
      </c>
      <c r="O58" s="1">
        <f t="shared" ca="1" si="8"/>
        <v>1.0185081323611889</v>
      </c>
      <c r="P58" s="1">
        <f t="shared" ca="1" si="31"/>
        <v>0</v>
      </c>
      <c r="Q58" s="1">
        <f t="shared" ca="1" si="32"/>
        <v>0</v>
      </c>
      <c r="R58" s="1">
        <f t="shared" ca="1" si="11"/>
        <v>0</v>
      </c>
      <c r="S58" s="1">
        <f t="shared" ca="1" si="33"/>
        <v>0</v>
      </c>
      <c r="T58" s="1">
        <f t="shared" ca="1" si="34"/>
        <v>0</v>
      </c>
      <c r="U58" s="1">
        <f t="shared" ca="1" si="14"/>
        <v>0</v>
      </c>
      <c r="V58" s="1">
        <f t="shared" ca="1" si="35"/>
        <v>5.4279999999999999</v>
      </c>
      <c r="W58" s="1">
        <f t="shared" ca="1" si="36"/>
        <v>3.6446204863669864</v>
      </c>
      <c r="X58" s="1">
        <f t="shared" ca="1" si="17"/>
        <v>0.57627118644067798</v>
      </c>
      <c r="Y58" s="1">
        <f t="shared" ca="1" si="37"/>
        <v>4.6529999999999996</v>
      </c>
      <c r="Z58" s="1">
        <f t="shared" ca="1" si="38"/>
        <v>1.3662153449387493</v>
      </c>
      <c r="AA58" s="1">
        <f t="shared" ca="1" si="20"/>
        <v>0.21598968407479047</v>
      </c>
    </row>
    <row r="59" spans="1:27" x14ac:dyDescent="0.3">
      <c r="A59" s="1">
        <v>21</v>
      </c>
      <c r="C59" s="1" t="str">
        <f t="shared" ca="1" si="21"/>
        <v>icx_w_lu2_o3.x</v>
      </c>
      <c r="D59" s="1">
        <f t="shared" ca="1" si="22"/>
        <v>4.5549999999999997</v>
      </c>
      <c r="E59" s="1">
        <f t="shared" ca="1" si="23"/>
        <v>6.5135016465422622</v>
      </c>
      <c r="F59" s="1">
        <f t="shared" ca="1" si="24"/>
        <v>1.0298572996706916</v>
      </c>
      <c r="G59" s="1">
        <f t="shared" ca="1" si="25"/>
        <v>4.1639999999999997</v>
      </c>
      <c r="H59" s="1">
        <f t="shared" ca="1" si="26"/>
        <v>6.1508165225744484</v>
      </c>
      <c r="I59" s="1">
        <f t="shared" ca="1" si="2"/>
        <v>0.97262247838616722</v>
      </c>
      <c r="J59" s="1">
        <f t="shared" ca="1" si="27"/>
        <v>1.875</v>
      </c>
      <c r="K59" s="1">
        <f t="shared" ca="1" si="28"/>
        <v>7.2527999999999997</v>
      </c>
      <c r="L59" s="1">
        <f t="shared" ca="1" si="5"/>
        <v>1.1466666666666667</v>
      </c>
      <c r="M59" s="1">
        <f t="shared" ca="1" si="29"/>
        <v>1.897</v>
      </c>
      <c r="N59" s="1">
        <f t="shared" ca="1" si="30"/>
        <v>7.0911966262519766</v>
      </c>
      <c r="O59" s="1">
        <f t="shared" ca="1" si="8"/>
        <v>1.121244069583553</v>
      </c>
      <c r="P59" s="1">
        <f t="shared" ca="1" si="31"/>
        <v>0</v>
      </c>
      <c r="Q59" s="1">
        <f t="shared" ca="1" si="32"/>
        <v>0</v>
      </c>
      <c r="R59" s="1">
        <f t="shared" ca="1" si="11"/>
        <v>0</v>
      </c>
      <c r="S59" s="1">
        <f t="shared" ca="1" si="33"/>
        <v>0</v>
      </c>
      <c r="T59" s="1">
        <f t="shared" ca="1" si="34"/>
        <v>0</v>
      </c>
      <c r="U59" s="1">
        <f t="shared" ca="1" si="14"/>
        <v>0</v>
      </c>
      <c r="V59" s="1">
        <f t="shared" ca="1" si="35"/>
        <v>5.266</v>
      </c>
      <c r="W59" s="1">
        <f t="shared" ca="1" si="36"/>
        <v>2.2766805924800604</v>
      </c>
      <c r="X59" s="1">
        <f t="shared" ca="1" si="17"/>
        <v>0.36004557538928983</v>
      </c>
      <c r="Y59" s="1">
        <f t="shared" ca="1" si="37"/>
        <v>4.6680000000000001</v>
      </c>
      <c r="Z59" s="1">
        <f t="shared" ca="1" si="38"/>
        <v>1.578191945158526</v>
      </c>
      <c r="AA59" s="1">
        <f t="shared" ca="1" si="20"/>
        <v>0.24957155098543274</v>
      </c>
    </row>
    <row r="60" spans="1:27" x14ac:dyDescent="0.3">
      <c r="A60" s="1">
        <v>22</v>
      </c>
      <c r="C60" s="1" t="str">
        <f t="shared" ca="1" si="21"/>
        <v>icx_w_lu4.x</v>
      </c>
      <c r="D60" s="1">
        <f t="shared" ca="1" si="22"/>
        <v>4.6449999999999996</v>
      </c>
      <c r="E60" s="1">
        <f t="shared" ca="1" si="23"/>
        <v>6.6083961248654477</v>
      </c>
      <c r="F60" s="1">
        <f t="shared" ca="1" si="24"/>
        <v>1.0447793326157158</v>
      </c>
      <c r="G60" s="1">
        <f t="shared" ca="1" si="25"/>
        <v>4.1269999999999998</v>
      </c>
      <c r="H60" s="1">
        <f t="shared" ca="1" si="26"/>
        <v>7.0356190937727172</v>
      </c>
      <c r="I60" s="1">
        <f t="shared" ca="1" si="2"/>
        <v>1.112430336806397</v>
      </c>
      <c r="J60" s="1">
        <f t="shared" ca="1" si="27"/>
        <v>1.891</v>
      </c>
      <c r="K60" s="1">
        <f t="shared" ca="1" si="28"/>
        <v>6.3659439450026438</v>
      </c>
      <c r="L60" s="1">
        <f t="shared" ca="1" si="5"/>
        <v>1.0063458487572712</v>
      </c>
      <c r="M60" s="1">
        <f t="shared" ca="1" si="29"/>
        <v>1.962</v>
      </c>
      <c r="N60" s="1">
        <f t="shared" ca="1" si="30"/>
        <v>8.8369011213047912</v>
      </c>
      <c r="O60" s="1">
        <f t="shared" ca="1" si="8"/>
        <v>1.3970438328236494</v>
      </c>
      <c r="P60" s="1">
        <f t="shared" ca="1" si="31"/>
        <v>0</v>
      </c>
      <c r="Q60" s="1">
        <f t="shared" ca="1" si="32"/>
        <v>0</v>
      </c>
      <c r="R60" s="1">
        <f t="shared" ca="1" si="11"/>
        <v>0</v>
      </c>
      <c r="S60" s="1">
        <f t="shared" ca="1" si="33"/>
        <v>0</v>
      </c>
      <c r="T60" s="1">
        <f t="shared" ca="1" si="34"/>
        <v>0</v>
      </c>
      <c r="U60" s="1">
        <f t="shared" ca="1" si="14"/>
        <v>0</v>
      </c>
      <c r="V60" s="1">
        <f t="shared" ca="1" si="35"/>
        <v>5.2469999999999999</v>
      </c>
      <c r="W60" s="1">
        <f t="shared" ca="1" si="36"/>
        <v>1.9777015437392798</v>
      </c>
      <c r="X60" s="1">
        <f t="shared" ca="1" si="17"/>
        <v>0.3127501429388222</v>
      </c>
      <c r="Y60" s="1">
        <f t="shared" ca="1" si="37"/>
        <v>4.6539999999999999</v>
      </c>
      <c r="Z60" s="1">
        <f t="shared" ca="1" si="38"/>
        <v>2.0418994413407821</v>
      </c>
      <c r="AA60" s="1">
        <f t="shared" ca="1" si="20"/>
        <v>0.32294800171895144</v>
      </c>
    </row>
    <row r="61" spans="1:27" x14ac:dyDescent="0.3">
      <c r="A61" s="1">
        <v>23</v>
      </c>
      <c r="C61" s="1" t="str">
        <f t="shared" ca="1" si="21"/>
        <v>icx_w_lu8.x</v>
      </c>
      <c r="D61" s="1">
        <f t="shared" ca="1" si="22"/>
        <v>4.5510000000000002</v>
      </c>
      <c r="E61" s="1">
        <f t="shared" ca="1" si="23"/>
        <v>4.5934959349593498</v>
      </c>
      <c r="F61" s="1">
        <f t="shared" ca="1" si="24"/>
        <v>0.7262140188969457</v>
      </c>
      <c r="G61" s="1">
        <f t="shared" ca="1" si="25"/>
        <v>4.1589999999999998</v>
      </c>
      <c r="H61" s="1">
        <f t="shared" ca="1" si="26"/>
        <v>7.0009617696561675</v>
      </c>
      <c r="I61" s="1">
        <f t="shared" ca="1" si="2"/>
        <v>1.1069968742486176</v>
      </c>
      <c r="J61" s="1">
        <f t="shared" ca="1" si="27"/>
        <v>1.8979999999999999</v>
      </c>
      <c r="K61" s="1">
        <f t="shared" ca="1" si="28"/>
        <v>6.8145416227608013</v>
      </c>
      <c r="L61" s="1">
        <f t="shared" ca="1" si="5"/>
        <v>1.0774499473129611</v>
      </c>
      <c r="M61" s="1">
        <f t="shared" ca="1" si="29"/>
        <v>1.9510000000000001</v>
      </c>
      <c r="N61" s="1">
        <f t="shared" ca="1" si="30"/>
        <v>7.7145053818554583</v>
      </c>
      <c r="O61" s="1">
        <f t="shared" ca="1" si="8"/>
        <v>1.219887237314198</v>
      </c>
      <c r="P61" s="1">
        <f t="shared" ca="1" si="31"/>
        <v>0</v>
      </c>
      <c r="Q61" s="1">
        <f t="shared" ca="1" si="32"/>
        <v>0</v>
      </c>
      <c r="R61" s="1">
        <f t="shared" ca="1" si="11"/>
        <v>0</v>
      </c>
      <c r="S61" s="1">
        <f t="shared" ca="1" si="33"/>
        <v>0</v>
      </c>
      <c r="T61" s="1">
        <f t="shared" ca="1" si="34"/>
        <v>0</v>
      </c>
      <c r="U61" s="1">
        <f t="shared" ca="1" si="14"/>
        <v>0</v>
      </c>
      <c r="V61" s="1">
        <f t="shared" ca="1" si="35"/>
        <v>5.266</v>
      </c>
      <c r="W61" s="1">
        <f t="shared" ca="1" si="36"/>
        <v>1.5558298518799847</v>
      </c>
      <c r="X61" s="1">
        <f t="shared" ca="1" si="17"/>
        <v>0.24591720470945688</v>
      </c>
      <c r="Y61" s="1">
        <f t="shared" ca="1" si="37"/>
        <v>4.66</v>
      </c>
      <c r="Z61" s="1">
        <f t="shared" ca="1" si="38"/>
        <v>1.2849785407725323</v>
      </c>
      <c r="AA61" s="1">
        <f t="shared" ca="1" si="20"/>
        <v>0.20321888412017167</v>
      </c>
    </row>
    <row r="62" spans="1:27" x14ac:dyDescent="0.3">
      <c r="A62" s="1">
        <v>24</v>
      </c>
    </row>
    <row r="63" spans="1:27" x14ac:dyDescent="0.3">
      <c r="D63" s="1">
        <v>4</v>
      </c>
      <c r="F63" s="1">
        <v>10</v>
      </c>
      <c r="H63" s="1">
        <v>16</v>
      </c>
      <c r="J63" s="1">
        <v>22</v>
      </c>
      <c r="L63" s="1">
        <v>7</v>
      </c>
      <c r="N63" s="1">
        <f>L63+6</f>
        <v>13</v>
      </c>
      <c r="P63" s="1">
        <f>N63+6</f>
        <v>19</v>
      </c>
      <c r="R63" s="1">
        <f>P63+6</f>
        <v>25</v>
      </c>
    </row>
    <row r="64" spans="1:27" ht="25" thickBot="1" x14ac:dyDescent="0.3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50" customHeight="1" thickBot="1" x14ac:dyDescent="0.35">
      <c r="B65" s="6"/>
      <c r="C65" s="26" t="s">
        <v>140</v>
      </c>
      <c r="D65" s="27" t="str" cm="1">
        <f t="array" aca="1" ref="D65" ca="1">INDIRECT(ADDRESS(ROW(D37),D63))</f>
        <v>AMD Ryzen 7 5800X</v>
      </c>
      <c r="E65" s="28"/>
      <c r="F65" s="28" t="str" cm="1">
        <f t="array" aca="1" ref="F65" ca="1">INDIRECT(ADDRESS(ROW(E37),F63))</f>
        <v>AMD EPYC Turin</v>
      </c>
      <c r="G65" s="28"/>
      <c r="H65" s="28" t="str" cm="1">
        <f t="array" aca="1" ref="H65" ca="1">INDIRECT(ADDRESS(ROW(F37),H63))</f>
        <v>Apple ARM M1 Max</v>
      </c>
      <c r="I65" s="28"/>
      <c r="J65" s="28" t="str" cm="1">
        <f t="array" aca="1" ref="J65" ca="1">INDIRECT(ADDRESS(ROW(G37),J63))</f>
        <v xml:space="preserve">Intel Xeon Platinum </v>
      </c>
      <c r="K65" s="29"/>
      <c r="L65" s="30" t="str" cm="1">
        <f t="array" aca="1" ref="L65" ca="1">INDIRECT(ADDRESS(ROW(H37),L63))</f>
        <v>AMD Ryzen 7 5800X ASE</v>
      </c>
      <c r="M65" s="31"/>
      <c r="N65" s="31" t="str" cm="1">
        <f t="array" aca="1" ref="N65" ca="1">INDIRECT(ADDRESS(ROW(I37),N63))</f>
        <v>AMD EPYC Turin ASE</v>
      </c>
      <c r="O65" s="31"/>
      <c r="P65" s="31" t="str" cm="1">
        <f t="array" aca="1" ref="P65" ca="1">INDIRECT(ADDRESS(ROW(J37),P63))</f>
        <v>Apple ARM M1 Max ASE</v>
      </c>
      <c r="Q65" s="31"/>
      <c r="R65" s="31" t="str" cm="1">
        <f t="array" aca="1" ref="R65" ca="1">INDIRECT(ADDRESS(ROW(K37),R63))</f>
        <v>Intel Xeon Platinum ASE</v>
      </c>
      <c r="S65" s="32"/>
      <c r="T65" s="6"/>
    </row>
    <row r="66" spans="1:20" x14ac:dyDescent="0.3">
      <c r="A66" s="1">
        <v>0</v>
      </c>
      <c r="B66" s="6"/>
      <c r="C66" s="42" t="str">
        <f ca="1">SUBSTITUTE(LEFT(C38,FIND(".",C38)-1),"pp","++")</f>
        <v>gfortran</v>
      </c>
      <c r="D66" s="43" cm="1">
        <f t="array" aca="1" ref="D66" ca="1">INDIRECT(ADDRESS(ROW($D$38)+$A66,D$63))</f>
        <v>7.1449999999999996</v>
      </c>
      <c r="E66" s="44" t="str" cm="1">
        <f t="array" aca="1" ref="E66" ca="1">"("&amp;TEXT(INDIRECT(ADDRESS(ROW($D$38)+$A66,D$63+2)),"0.0")&amp;"%)"</f>
        <v>(0.5%)</v>
      </c>
      <c r="F66" s="45" cm="1">
        <f t="array" aca="1" ref="F66" ca="1">INDIRECT(ADDRESS(ROW($D$38)+$A66,F$63))</f>
        <v>5.42</v>
      </c>
      <c r="G66" s="44" t="str" cm="1">
        <f t="array" aca="1" ref="G66" ca="1">"("&amp;TEXT(INDIRECT(ADDRESS(ROW($D$38)+$A66,F$63+2)),"0.0")&amp;"%)"</f>
        <v>(0.1%)</v>
      </c>
      <c r="H66" s="45" cm="1">
        <f t="array" aca="1" ref="H66" ca="1">INDIRECT(ADDRESS(ROW($D$38)+$A66,H$63))</f>
        <v>11.936</v>
      </c>
      <c r="I66" s="44" t="str" cm="1">
        <f t="array" aca="1" ref="I66" ca="1">"("&amp;TEXT(INDIRECT(ADDRESS(ROW($D$38)+$A66,H$63+2)),"0.0")&amp;"%)"</f>
        <v>(4.1%)</v>
      </c>
      <c r="J66" s="45" cm="1">
        <f t="array" aca="1" ref="J66" ca="1">INDIRECT(ADDRESS(ROW($D$38)+$A66,J$63))</f>
        <v>6.5570000000000004</v>
      </c>
      <c r="K66" s="46" t="str" cm="1">
        <f t="array" aca="1" ref="K66" ca="1">"("&amp;TEXT(INDIRECT(ADDRESS(ROW($D$38)+$A66,J$63+2)),"0.0")&amp;"%)"</f>
        <v>(0.1%)</v>
      </c>
      <c r="L66" s="47" cm="1">
        <f t="array" aca="1" ref="L66" ca="1">INDIRECT(ADDRESS(ROW($D$38)+$A66,L$63))</f>
        <v>7.056</v>
      </c>
      <c r="M66" s="48" t="str" cm="1">
        <f t="array" aca="1" ref="M66" ca="1">"("&amp;TEXT(INDIRECT(ADDRESS(ROW($D$38)+$A66,L$63+2)),"0.0")&amp;"%)"</f>
        <v>(0.5%)</v>
      </c>
      <c r="N66" s="49" cm="1">
        <f t="array" aca="1" ref="N66" ca="1">INDIRECT(ADDRESS(ROW($D$38)+$A66,N$63))</f>
        <v>5.4450000000000003</v>
      </c>
      <c r="O66" s="48" t="str" cm="1">
        <f t="array" aca="1" ref="O66" ca="1">"("&amp;TEXT(INDIRECT(ADDRESS(ROW($D$38)+$A66,N$63+2)),"0.0")&amp;"%)"</f>
        <v>(0.1%)</v>
      </c>
      <c r="P66" s="49" cm="1">
        <f t="array" aca="1" ref="P66" ca="1">INDIRECT(ADDRESS(ROW($D$38)+$A66,P$63))</f>
        <v>11.651</v>
      </c>
      <c r="Q66" s="48" t="str" cm="1">
        <f t="array" aca="1" ref="Q66" ca="1">"("&amp;TEXT(INDIRECT(ADDRESS(ROW($D$38)+$A66,P$63+2)),"0.0")&amp;"%)"</f>
        <v>(1.6%)</v>
      </c>
      <c r="R66" s="49" cm="1">
        <f t="array" aca="1" ref="R66" ca="1">INDIRECT(ADDRESS(ROW($D$38)+$A66,R$63))</f>
        <v>6.5750000000000002</v>
      </c>
      <c r="S66" s="50" t="str" cm="1">
        <f t="array" aca="1" ref="S66" ca="1">"("&amp;TEXT(INDIRECT(ADDRESS(ROW($D$38)+$A66,R$63+2)),"0.0")&amp;"%)"</f>
        <v>(0.2%)</v>
      </c>
      <c r="T66" s="6"/>
    </row>
    <row r="67" spans="1:20" x14ac:dyDescent="0.3">
      <c r="A67" s="1">
        <v>1</v>
      </c>
      <c r="B67" s="6"/>
      <c r="C67" s="24" t="str">
        <f t="shared" ref="C67:C89" ca="1" si="39">SUBSTITUTE(LEFT(C39,FIND(".",C39)-1),"pp","++")</f>
        <v>gfortran_o3</v>
      </c>
      <c r="D67" s="10" cm="1">
        <f t="array" aca="1" ref="D67" ca="1">INDIRECT(ADDRESS(ROW($D$38)+$A67,D$63))</f>
        <v>7.0529999999999999</v>
      </c>
      <c r="E67" s="9" t="str" cm="1">
        <f t="array" aca="1" ref="E67" ca="1">"("&amp;TEXT(INDIRECT(ADDRESS(ROW($D$38)+$A67,D$63+2)),"0.0")&amp;"%)"</f>
        <v>(0.5%)</v>
      </c>
      <c r="F67" s="8" cm="1">
        <f t="array" aca="1" ref="F67" ca="1">INDIRECT(ADDRESS(ROW($D$38)+$A67,F$63))</f>
        <v>5.42</v>
      </c>
      <c r="G67" s="9" t="str" cm="1">
        <f t="array" aca="1" ref="G67" ca="1">"("&amp;TEXT(INDIRECT(ADDRESS(ROW($D$38)+$A67,F$63+2)),"0.0")&amp;"%)"</f>
        <v>(0.1%)</v>
      </c>
      <c r="H67" s="8" cm="1">
        <f t="array" aca="1" ref="H67" ca="1">INDIRECT(ADDRESS(ROW($D$38)+$A67,H$63))</f>
        <v>12.206</v>
      </c>
      <c r="I67" s="9" t="str" cm="1">
        <f t="array" aca="1" ref="I67" ca="1">"("&amp;TEXT(INDIRECT(ADDRESS(ROW($D$38)+$A67,H$63+2)),"0.0")&amp;"%)"</f>
        <v>(1.9%)</v>
      </c>
      <c r="J67" s="8" cm="1">
        <f t="array" aca="1" ref="J67" ca="1">INDIRECT(ADDRESS(ROW($D$38)+$A67,J$63))</f>
        <v>6.5469999999999997</v>
      </c>
      <c r="K67" s="11" t="str" cm="1">
        <f t="array" aca="1" ref="K67" ca="1">"("&amp;TEXT(INDIRECT(ADDRESS(ROW($D$38)+$A67,J$63+2)),"0.0")&amp;"%)"</f>
        <v>(0.1%)</v>
      </c>
      <c r="L67" s="16" cm="1">
        <f t="array" aca="1" ref="L67" ca="1">INDIRECT(ADDRESS(ROW($D$38)+$A67,L$63))</f>
        <v>6.98</v>
      </c>
      <c r="M67" s="20" t="str" cm="1">
        <f t="array" aca="1" ref="M67" ca="1">"("&amp;TEXT(INDIRECT(ADDRESS(ROW($D$38)+$A67,L$63+2)),"0.0")&amp;"%)"</f>
        <v>(0.4%)</v>
      </c>
      <c r="N67" s="17" cm="1">
        <f t="array" aca="1" ref="N67" ca="1">INDIRECT(ADDRESS(ROW($D$38)+$A67,N$63))</f>
        <v>5.4160000000000004</v>
      </c>
      <c r="O67" s="20" t="str" cm="1">
        <f t="array" aca="1" ref="O67" ca="1">"("&amp;TEXT(INDIRECT(ADDRESS(ROW($D$38)+$A67,N$63+2)),"0.0")&amp;"%)"</f>
        <v>(0.1%)</v>
      </c>
      <c r="P67" s="17" cm="1">
        <f t="array" aca="1" ref="P67" ca="1">INDIRECT(ADDRESS(ROW($D$38)+$A67,P$63))</f>
        <v>12.534000000000001</v>
      </c>
      <c r="Q67" s="20" t="str" cm="1">
        <f t="array" aca="1" ref="Q67" ca="1">"("&amp;TEXT(INDIRECT(ADDRESS(ROW($D$38)+$A67,P$63+2)),"0.0")&amp;"%)"</f>
        <v>(1.4%)</v>
      </c>
      <c r="R67" s="17" cm="1">
        <f t="array" aca="1" ref="R67" ca="1">INDIRECT(ADDRESS(ROW($D$38)+$A67,R$63))</f>
        <v>6.5659999999999998</v>
      </c>
      <c r="S67" s="22" t="str" cm="1">
        <f t="array" aca="1" ref="S67" ca="1">"("&amp;TEXT(INDIRECT(ADDRESS(ROW($D$38)+$A67,R$63+2)),"0.0")&amp;"%)"</f>
        <v>(0.4%)</v>
      </c>
      <c r="T67" s="6"/>
    </row>
    <row r="68" spans="1:20" x14ac:dyDescent="0.3">
      <c r="A68" s="1">
        <v>2</v>
      </c>
      <c r="B68" s="6"/>
      <c r="C68" s="24" t="str">
        <f t="shared" ca="1" si="39"/>
        <v>gfortran_w_lu2</v>
      </c>
      <c r="D68" s="10" cm="1">
        <f t="array" aca="1" ref="D68" ca="1">INDIRECT(ADDRESS(ROW($D$38)+$A68,D$63))</f>
        <v>7.1829999999999998</v>
      </c>
      <c r="E68" s="9" t="str" cm="1">
        <f t="array" aca="1" ref="E68" ca="1">"("&amp;TEXT(INDIRECT(ADDRESS(ROW($D$38)+$A68,D$63+2)),"0.0")&amp;"%)"</f>
        <v>(0.4%)</v>
      </c>
      <c r="F68" s="8" cm="1">
        <f t="array" aca="1" ref="F68" ca="1">INDIRECT(ADDRESS(ROW($D$38)+$A68,F$63))</f>
        <v>5.423</v>
      </c>
      <c r="G68" s="9" t="str" cm="1">
        <f t="array" aca="1" ref="G68" ca="1">"("&amp;TEXT(INDIRECT(ADDRESS(ROW($D$38)+$A68,F$63+2)),"0.0")&amp;"%)"</f>
        <v>(0.1%)</v>
      </c>
      <c r="H68" s="8" cm="1">
        <f t="array" aca="1" ref="H68" ca="1">INDIRECT(ADDRESS(ROW($D$38)+$A68,H$63))</f>
        <v>11.587999999999999</v>
      </c>
      <c r="I68" s="9" t="str" cm="1">
        <f t="array" aca="1" ref="I68" ca="1">"("&amp;TEXT(INDIRECT(ADDRESS(ROW($D$38)+$A68,H$63+2)),"0.0")&amp;"%)"</f>
        <v>(1.6%)</v>
      </c>
      <c r="J68" s="8" cm="1">
        <f t="array" aca="1" ref="J68" ca="1">INDIRECT(ADDRESS(ROW($D$38)+$A68,J$63))</f>
        <v>6.5259999999999998</v>
      </c>
      <c r="K68" s="11" t="str" cm="1">
        <f t="array" aca="1" ref="K68" ca="1">"("&amp;TEXT(INDIRECT(ADDRESS(ROW($D$38)+$A68,J$63+2)),"0.0")&amp;"%)"</f>
        <v>(0.1%)</v>
      </c>
      <c r="L68" s="16" cm="1">
        <f t="array" aca="1" ref="L68" ca="1">INDIRECT(ADDRESS(ROW($D$38)+$A68,L$63))</f>
        <v>7.0170000000000003</v>
      </c>
      <c r="M68" s="20" t="str" cm="1">
        <f t="array" aca="1" ref="M68" ca="1">"("&amp;TEXT(INDIRECT(ADDRESS(ROW($D$38)+$A68,L$63+2)),"0.0")&amp;"%)"</f>
        <v>(0.3%)</v>
      </c>
      <c r="N68" s="17" cm="1">
        <f t="array" aca="1" ref="N68" ca="1">INDIRECT(ADDRESS(ROW($D$38)+$A68,N$63))</f>
        <v>5.415</v>
      </c>
      <c r="O68" s="20" t="str" cm="1">
        <f t="array" aca="1" ref="O68" ca="1">"("&amp;TEXT(INDIRECT(ADDRESS(ROW($D$38)+$A68,N$63+2)),"0.0")&amp;"%)"</f>
        <v>(0.1%)</v>
      </c>
      <c r="P68" s="17" cm="1">
        <f t="array" aca="1" ref="P68" ca="1">INDIRECT(ADDRESS(ROW($D$38)+$A68,P$63))</f>
        <v>13.208</v>
      </c>
      <c r="Q68" s="20" t="str" cm="1">
        <f t="array" aca="1" ref="Q68" ca="1">"("&amp;TEXT(INDIRECT(ADDRESS(ROW($D$38)+$A68,P$63+2)),"0.0")&amp;"%)"</f>
        <v>(9.1%)</v>
      </c>
      <c r="R68" s="17" cm="1">
        <f t="array" aca="1" ref="R68" ca="1">INDIRECT(ADDRESS(ROW($D$38)+$A68,R$63))</f>
        <v>6.56</v>
      </c>
      <c r="S68" s="22" t="str" cm="1">
        <f t="array" aca="1" ref="S68" ca="1">"("&amp;TEXT(INDIRECT(ADDRESS(ROW($D$38)+$A68,R$63+2)),"0.0")&amp;"%)"</f>
        <v>(0.3%)</v>
      </c>
      <c r="T68" s="6"/>
    </row>
    <row r="69" spans="1:20" x14ac:dyDescent="0.3">
      <c r="A69" s="1">
        <v>3</v>
      </c>
      <c r="B69" s="6"/>
      <c r="C69" s="24" t="str">
        <f t="shared" ca="1" si="39"/>
        <v>gfortran_w_lu2_o3</v>
      </c>
      <c r="D69" s="10" cm="1">
        <f t="array" aca="1" ref="D69" ca="1">INDIRECT(ADDRESS(ROW($D$38)+$A69,D$63))</f>
        <v>7.2519999999999998</v>
      </c>
      <c r="E69" s="9" t="str" cm="1">
        <f t="array" aca="1" ref="E69" ca="1">"("&amp;TEXT(INDIRECT(ADDRESS(ROW($D$38)+$A69,D$63+2)),"0.0")&amp;"%)"</f>
        <v>(0.5%)</v>
      </c>
      <c r="F69" s="8" cm="1">
        <f t="array" aca="1" ref="F69" ca="1">INDIRECT(ADDRESS(ROW($D$38)+$A69,F$63))</f>
        <v>5.4009999999999998</v>
      </c>
      <c r="G69" s="9" t="str" cm="1">
        <f t="array" aca="1" ref="G69" ca="1">"("&amp;TEXT(INDIRECT(ADDRESS(ROW($D$38)+$A69,F$63+2)),"0.0")&amp;"%)"</f>
        <v>(0.1%)</v>
      </c>
      <c r="H69" s="8" cm="1">
        <f t="array" aca="1" ref="H69" ca="1">INDIRECT(ADDRESS(ROW($D$38)+$A69,H$63))</f>
        <v>11.933999999999999</v>
      </c>
      <c r="I69" s="9" t="str" cm="1">
        <f t="array" aca="1" ref="I69" ca="1">"("&amp;TEXT(INDIRECT(ADDRESS(ROW($D$38)+$A69,H$63+2)),"0.0")&amp;"%)"</f>
        <v>(1.1%)</v>
      </c>
      <c r="J69" s="8" cm="1">
        <f t="array" aca="1" ref="J69" ca="1">INDIRECT(ADDRESS(ROW($D$38)+$A69,J$63))</f>
        <v>6.5419999999999998</v>
      </c>
      <c r="K69" s="11" t="str" cm="1">
        <f t="array" aca="1" ref="K69" ca="1">"("&amp;TEXT(INDIRECT(ADDRESS(ROW($D$38)+$A69,J$63+2)),"0.0")&amp;"%)"</f>
        <v>(0.1%)</v>
      </c>
      <c r="L69" s="16" cm="1">
        <f t="array" aca="1" ref="L69" ca="1">INDIRECT(ADDRESS(ROW($D$38)+$A69,L$63))</f>
        <v>7.02</v>
      </c>
      <c r="M69" s="20" t="str" cm="1">
        <f t="array" aca="1" ref="M69" ca="1">"("&amp;TEXT(INDIRECT(ADDRESS(ROW($D$38)+$A69,L$63+2)),"0.0")&amp;"%)"</f>
        <v>(0.6%)</v>
      </c>
      <c r="N69" s="17" cm="1">
        <f t="array" aca="1" ref="N69" ca="1">INDIRECT(ADDRESS(ROW($D$38)+$A69,N$63))</f>
        <v>5.4359999999999999</v>
      </c>
      <c r="O69" s="20" t="str" cm="1">
        <f t="array" aca="1" ref="O69" ca="1">"("&amp;TEXT(INDIRECT(ADDRESS(ROW($D$38)+$A69,N$63+2)),"0.0")&amp;"%)"</f>
        <v>(0.1%)</v>
      </c>
      <c r="P69" s="17" cm="1">
        <f t="array" aca="1" ref="P69" ca="1">INDIRECT(ADDRESS(ROW($D$38)+$A69,P$63))</f>
        <v>12.683</v>
      </c>
      <c r="Q69" s="20" t="str" cm="1">
        <f t="array" aca="1" ref="Q69" ca="1">"("&amp;TEXT(INDIRECT(ADDRESS(ROW($D$38)+$A69,P$63+2)),"0.0")&amp;"%)"</f>
        <v>(6.2%)</v>
      </c>
      <c r="R69" s="17" cm="1">
        <f t="array" aca="1" ref="R69" ca="1">INDIRECT(ADDRESS(ROW($D$38)+$A69,R$63))</f>
        <v>6.5549999999999997</v>
      </c>
      <c r="S69" s="22" t="str" cm="1">
        <f t="array" aca="1" ref="S69" ca="1">"("&amp;TEXT(INDIRECT(ADDRESS(ROW($D$38)+$A69,R$63+2)),"0.0")&amp;"%)"</f>
        <v>(0.2%)</v>
      </c>
      <c r="T69" s="6"/>
    </row>
    <row r="70" spans="1:20" x14ac:dyDescent="0.3">
      <c r="A70" s="1">
        <v>4</v>
      </c>
      <c r="B70" s="6"/>
      <c r="C70" s="24" t="str">
        <f t="shared" ca="1" si="39"/>
        <v>gfortran_w_lu4</v>
      </c>
      <c r="D70" s="10" cm="1">
        <f t="array" aca="1" ref="D70" ca="1">INDIRECT(ADDRESS(ROW($D$38)+$A70,D$63))</f>
        <v>7.0640000000000001</v>
      </c>
      <c r="E70" s="9" t="str" cm="1">
        <f t="array" aca="1" ref="E70" ca="1">"("&amp;TEXT(INDIRECT(ADDRESS(ROW($D$38)+$A70,D$63+2)),"0.0")&amp;"%)"</f>
        <v>(0.5%)</v>
      </c>
      <c r="F70" s="8" cm="1">
        <f t="array" aca="1" ref="F70" ca="1">INDIRECT(ADDRESS(ROW($D$38)+$A70,F$63))</f>
        <v>5.4240000000000004</v>
      </c>
      <c r="G70" s="9" t="str" cm="1">
        <f t="array" aca="1" ref="G70" ca="1">"("&amp;TEXT(INDIRECT(ADDRESS(ROW($D$38)+$A70,F$63+2)),"0.0")&amp;"%)"</f>
        <v>(0.1%)</v>
      </c>
      <c r="H70" s="8" cm="1">
        <f t="array" aca="1" ref="H70" ca="1">INDIRECT(ADDRESS(ROW($D$38)+$A70,H$63))</f>
        <v>12.132999999999999</v>
      </c>
      <c r="I70" s="9" t="str" cm="1">
        <f t="array" aca="1" ref="I70" ca="1">"("&amp;TEXT(INDIRECT(ADDRESS(ROW($D$38)+$A70,H$63+2)),"0.0")&amp;"%)"</f>
        <v>(1.5%)</v>
      </c>
      <c r="J70" s="8" cm="1">
        <f t="array" aca="1" ref="J70" ca="1">INDIRECT(ADDRESS(ROW($D$38)+$A70,J$63))</f>
        <v>6.5309999999999997</v>
      </c>
      <c r="K70" s="11" t="str" cm="1">
        <f t="array" aca="1" ref="K70" ca="1">"("&amp;TEXT(INDIRECT(ADDRESS(ROW($D$38)+$A70,J$63+2)),"0.0")&amp;"%)"</f>
        <v>(0.1%)</v>
      </c>
      <c r="L70" s="16" cm="1">
        <f t="array" aca="1" ref="L70" ca="1">INDIRECT(ADDRESS(ROW($D$38)+$A70,L$63))</f>
        <v>6.9560000000000004</v>
      </c>
      <c r="M70" s="20" t="str" cm="1">
        <f t="array" aca="1" ref="M70" ca="1">"("&amp;TEXT(INDIRECT(ADDRESS(ROW($D$38)+$A70,L$63+2)),"0.0")&amp;"%)"</f>
        <v>(0.4%)</v>
      </c>
      <c r="N70" s="17" cm="1">
        <f t="array" aca="1" ref="N70" ca="1">INDIRECT(ADDRESS(ROW($D$38)+$A70,N$63))</f>
        <v>5.444</v>
      </c>
      <c r="O70" s="20" t="str" cm="1">
        <f t="array" aca="1" ref="O70" ca="1">"("&amp;TEXT(INDIRECT(ADDRESS(ROW($D$38)+$A70,N$63+2)),"0.0")&amp;"%)"</f>
        <v>(0.1%)</v>
      </c>
      <c r="P70" s="17" cm="1">
        <f t="array" aca="1" ref="P70" ca="1">INDIRECT(ADDRESS(ROW($D$38)+$A70,P$63))</f>
        <v>12.956</v>
      </c>
      <c r="Q70" s="20" t="str" cm="1">
        <f t="array" aca="1" ref="Q70" ca="1">"("&amp;TEXT(INDIRECT(ADDRESS(ROW($D$38)+$A70,P$63+2)),"0.0")&amp;"%)"</f>
        <v>(5.3%)</v>
      </c>
      <c r="R70" s="17" cm="1">
        <f t="array" aca="1" ref="R70" ca="1">INDIRECT(ADDRESS(ROW($D$38)+$A70,R$63))</f>
        <v>6.5720000000000001</v>
      </c>
      <c r="S70" s="22" t="str" cm="1">
        <f t="array" aca="1" ref="S70" ca="1">"("&amp;TEXT(INDIRECT(ADDRESS(ROW($D$38)+$A70,R$63+2)),"0.0")&amp;"%)"</f>
        <v>(0.2%)</v>
      </c>
      <c r="T70" s="6"/>
    </row>
    <row r="71" spans="1:20" x14ac:dyDescent="0.3">
      <c r="A71" s="1">
        <v>5</v>
      </c>
      <c r="B71" s="6"/>
      <c r="C71" s="24" t="str">
        <f t="shared" ca="1" si="39"/>
        <v>gfortran_w_lu8</v>
      </c>
      <c r="D71" s="10" cm="1">
        <f t="array" aca="1" ref="D71" ca="1">INDIRECT(ADDRESS(ROW($D$38)+$A71,D$63))</f>
        <v>6.984</v>
      </c>
      <c r="E71" s="9" t="str" cm="1">
        <f t="array" aca="1" ref="E71" ca="1">"("&amp;TEXT(INDIRECT(ADDRESS(ROW($D$38)+$A71,D$63+2)),"0.0")&amp;"%)"</f>
        <v>(0.5%)</v>
      </c>
      <c r="F71" s="8" cm="1">
        <f t="array" aca="1" ref="F71" ca="1">INDIRECT(ADDRESS(ROW($D$38)+$A71,F$63))</f>
        <v>5.4349999999999996</v>
      </c>
      <c r="G71" s="9" t="str" cm="1">
        <f t="array" aca="1" ref="G71" ca="1">"("&amp;TEXT(INDIRECT(ADDRESS(ROW($D$38)+$A71,F$63+2)),"0.0")&amp;"%)"</f>
        <v>(0.1%)</v>
      </c>
      <c r="H71" s="8" cm="1">
        <f t="array" aca="1" ref="H71" ca="1">INDIRECT(ADDRESS(ROW($D$38)+$A71,H$63))</f>
        <v>12.467000000000001</v>
      </c>
      <c r="I71" s="9" t="str" cm="1">
        <f t="array" aca="1" ref="I71" ca="1">"("&amp;TEXT(INDIRECT(ADDRESS(ROW($D$38)+$A71,H$63+2)),"0.0")&amp;"%)"</f>
        <v>(1.7%)</v>
      </c>
      <c r="J71" s="8" cm="1">
        <f t="array" aca="1" ref="J71" ca="1">INDIRECT(ADDRESS(ROW($D$38)+$A71,J$63))</f>
        <v>6.5119999999999996</v>
      </c>
      <c r="K71" s="11" t="str" cm="1">
        <f t="array" aca="1" ref="K71" ca="1">"("&amp;TEXT(INDIRECT(ADDRESS(ROW($D$38)+$A71,J$63+2)),"0.0")&amp;"%)"</f>
        <v>(0.1%)</v>
      </c>
      <c r="L71" s="16" cm="1">
        <f t="array" aca="1" ref="L71" ca="1">INDIRECT(ADDRESS(ROW($D$38)+$A71,L$63))</f>
        <v>7.0019999999999998</v>
      </c>
      <c r="M71" s="20" t="str" cm="1">
        <f t="array" aca="1" ref="M71" ca="1">"("&amp;TEXT(INDIRECT(ADDRESS(ROW($D$38)+$A71,L$63+2)),"0.0")&amp;"%)"</f>
        <v>(0.5%)</v>
      </c>
      <c r="N71" s="17" cm="1">
        <f t="array" aca="1" ref="N71" ca="1">INDIRECT(ADDRESS(ROW($D$38)+$A71,N$63))</f>
        <v>5.4119999999999999</v>
      </c>
      <c r="O71" s="20" t="str" cm="1">
        <f t="array" aca="1" ref="O71" ca="1">"("&amp;TEXT(INDIRECT(ADDRESS(ROW($D$38)+$A71,N$63+2)),"0.0")&amp;"%)"</f>
        <v>(0.1%)</v>
      </c>
      <c r="P71" s="17" cm="1">
        <f t="array" aca="1" ref="P71" ca="1">INDIRECT(ADDRESS(ROW($D$38)+$A71,P$63))</f>
        <v>12.302</v>
      </c>
      <c r="Q71" s="20" t="str" cm="1">
        <f t="array" aca="1" ref="Q71" ca="1">"("&amp;TEXT(INDIRECT(ADDRESS(ROW($D$38)+$A71,P$63+2)),"0.0")&amp;"%)"</f>
        <v>(2.3%)</v>
      </c>
      <c r="R71" s="17" cm="1">
        <f t="array" aca="1" ref="R71" ca="1">INDIRECT(ADDRESS(ROW($D$38)+$A71,R$63))</f>
        <v>6.5620000000000003</v>
      </c>
      <c r="S71" s="22" t="str" cm="1">
        <f t="array" aca="1" ref="S71" ca="1">"("&amp;TEXT(INDIRECT(ADDRESS(ROW($D$38)+$A71,R$63+2)),"0.0")&amp;"%)"</f>
        <v>(0.2%)</v>
      </c>
      <c r="T71" s="6"/>
    </row>
    <row r="72" spans="1:20" x14ac:dyDescent="0.3">
      <c r="A72" s="1">
        <v>6</v>
      </c>
      <c r="B72" s="6"/>
      <c r="C72" s="24" t="str">
        <f t="shared" ca="1" si="39"/>
        <v>ifx</v>
      </c>
      <c r="D72" s="10" cm="1">
        <f t="array" aca="1" ref="D72" ca="1">INDIRECT(ADDRESS(ROW($D$38)+$A72,D$63))</f>
        <v>6.8</v>
      </c>
      <c r="E72" s="9" t="str" cm="1">
        <f t="array" aca="1" ref="E72" ca="1">"("&amp;TEXT(INDIRECT(ADDRESS(ROW($D$38)+$A72,D$63+2)),"0.0")&amp;"%)"</f>
        <v>(1.3%)</v>
      </c>
      <c r="F72" s="8" cm="1">
        <f t="array" aca="1" ref="F72" ca="1">INDIRECT(ADDRESS(ROW($D$38)+$A72,F$63))</f>
        <v>5.4020000000000001</v>
      </c>
      <c r="G72" s="9" t="str" cm="1">
        <f t="array" aca="1" ref="G72" ca="1">"("&amp;TEXT(INDIRECT(ADDRESS(ROW($D$38)+$A72,F$63+2)),"0.0")&amp;"%)"</f>
        <v>(0.1%)</v>
      </c>
      <c r="H72" s="8" cm="1">
        <f t="array" aca="1" ref="H72" ca="1">INDIRECT(ADDRESS(ROW($D$38)+$A72,H$63))</f>
        <v>0</v>
      </c>
      <c r="I72" s="9" t="str" cm="1">
        <f t="array" aca="1" ref="I72" ca="1">"("&amp;TEXT(INDIRECT(ADDRESS(ROW($D$38)+$A72,H$63+2)),"0.0")&amp;"%)"</f>
        <v>(0.0%)</v>
      </c>
      <c r="J72" s="8" cm="1">
        <f t="array" aca="1" ref="J72" ca="1">INDIRECT(ADDRESS(ROW($D$38)+$A72,J$63))</f>
        <v>6.5439999999999996</v>
      </c>
      <c r="K72" s="11" t="str" cm="1">
        <f t="array" aca="1" ref="K72" ca="1">"("&amp;TEXT(INDIRECT(ADDRESS(ROW($D$38)+$A72,J$63+2)),"0.0")&amp;"%)"</f>
        <v>(0.2%)</v>
      </c>
      <c r="L72" s="16" cm="1">
        <f t="array" aca="1" ref="L72" ca="1">INDIRECT(ADDRESS(ROW($D$38)+$A72,L$63))</f>
        <v>4.2</v>
      </c>
      <c r="M72" s="20" t="str" cm="1">
        <f t="array" aca="1" ref="M72" ca="1">"("&amp;TEXT(INDIRECT(ADDRESS(ROW($D$38)+$A72,L$63+2)),"0.0")&amp;"%)"</f>
        <v>(2.6%)</v>
      </c>
      <c r="N72" s="17" cm="1">
        <f t="array" aca="1" ref="N72" ca="1">INDIRECT(ADDRESS(ROW($D$38)+$A72,N$63))</f>
        <v>1.92</v>
      </c>
      <c r="O72" s="20" t="str" cm="1">
        <f t="array" aca="1" ref="O72" ca="1">"("&amp;TEXT(INDIRECT(ADDRESS(ROW($D$38)+$A72,N$63+2)),"0.0")&amp;"%)"</f>
        <v>(1.0%)</v>
      </c>
      <c r="P72" s="17" cm="1">
        <f t="array" aca="1" ref="P72" ca="1">INDIRECT(ADDRESS(ROW($D$38)+$A72,P$63))</f>
        <v>0</v>
      </c>
      <c r="Q72" s="20" t="str" cm="1">
        <f t="array" aca="1" ref="Q72" ca="1">"("&amp;TEXT(INDIRECT(ADDRESS(ROW($D$38)+$A72,P$63+2)),"0.0")&amp;"%)"</f>
        <v>(0.0%)</v>
      </c>
      <c r="R72" s="17" cm="1">
        <f t="array" aca="1" ref="R72" ca="1">INDIRECT(ADDRESS(ROW($D$38)+$A72,R$63))</f>
        <v>4.6420000000000003</v>
      </c>
      <c r="S72" s="22" t="str" cm="1">
        <f t="array" aca="1" ref="S72" ca="1">"("&amp;TEXT(INDIRECT(ADDRESS(ROW($D$38)+$A72,R$63+2)),"0.0")&amp;"%)"</f>
        <v>(0.2%)</v>
      </c>
      <c r="T72" s="6"/>
    </row>
    <row r="73" spans="1:20" x14ac:dyDescent="0.3">
      <c r="A73" s="1">
        <v>7</v>
      </c>
      <c r="B73" s="6"/>
      <c r="C73" s="24" t="str">
        <f t="shared" ca="1" si="39"/>
        <v>ifx_o3</v>
      </c>
      <c r="D73" s="10" cm="1">
        <f t="array" aca="1" ref="D73" ca="1">INDIRECT(ADDRESS(ROW($D$38)+$A73,D$63))</f>
        <v>7.0250000000000004</v>
      </c>
      <c r="E73" s="9" t="str" cm="1">
        <f t="array" aca="1" ref="E73" ca="1">"("&amp;TEXT(INDIRECT(ADDRESS(ROW($D$38)+$A73,D$63+2)),"0.0")&amp;"%)"</f>
        <v>(2.1%)</v>
      </c>
      <c r="F73" s="8" cm="1">
        <f t="array" aca="1" ref="F73" ca="1">INDIRECT(ADDRESS(ROW($D$38)+$A73,F$63))</f>
        <v>5.4240000000000004</v>
      </c>
      <c r="G73" s="9" t="str" cm="1">
        <f t="array" aca="1" ref="G73" ca="1">"("&amp;TEXT(INDIRECT(ADDRESS(ROW($D$38)+$A73,F$63+2)),"0.0")&amp;"%)"</f>
        <v>(0.1%)</v>
      </c>
      <c r="H73" s="8" cm="1">
        <f t="array" aca="1" ref="H73" ca="1">INDIRECT(ADDRESS(ROW($D$38)+$A73,H$63))</f>
        <v>0</v>
      </c>
      <c r="I73" s="9" t="str" cm="1">
        <f t="array" aca="1" ref="I73" ca="1">"("&amp;TEXT(INDIRECT(ADDRESS(ROW($D$38)+$A73,H$63+2)),"0.0")&amp;"%)"</f>
        <v>(0.0%)</v>
      </c>
      <c r="J73" s="8" cm="1">
        <f t="array" aca="1" ref="J73" ca="1">INDIRECT(ADDRESS(ROW($D$38)+$A73,J$63))</f>
        <v>6.5739999999999998</v>
      </c>
      <c r="K73" s="11" t="str" cm="1">
        <f t="array" aca="1" ref="K73" ca="1">"("&amp;TEXT(INDIRECT(ADDRESS(ROW($D$38)+$A73,J$63+2)),"0.0")&amp;"%)"</f>
        <v>(0.1%)</v>
      </c>
      <c r="L73" s="16" cm="1">
        <f t="array" aca="1" ref="L73" ca="1">INDIRECT(ADDRESS(ROW($D$38)+$A73,L$63))</f>
        <v>4.0250000000000004</v>
      </c>
      <c r="M73" s="20" t="str" cm="1">
        <f t="array" aca="1" ref="M73" ca="1">"("&amp;TEXT(INDIRECT(ADDRESS(ROW($D$38)+$A73,L$63+2)),"0.0")&amp;"%)"</f>
        <v>(5.1%)</v>
      </c>
      <c r="N73" s="17" cm="1">
        <f t="array" aca="1" ref="N73" ca="1">INDIRECT(ADDRESS(ROW($D$38)+$A73,N$63))</f>
        <v>1.9750000000000001</v>
      </c>
      <c r="O73" s="20" t="str" cm="1">
        <f t="array" aca="1" ref="O73" ca="1">"("&amp;TEXT(INDIRECT(ADDRESS(ROW($D$38)+$A73,N$63+2)),"0.0")&amp;"%)"</f>
        <v>(0.9%)</v>
      </c>
      <c r="P73" s="17" cm="1">
        <f t="array" aca="1" ref="P73" ca="1">INDIRECT(ADDRESS(ROW($D$38)+$A73,P$63))</f>
        <v>0</v>
      </c>
      <c r="Q73" s="20" t="str" cm="1">
        <f t="array" aca="1" ref="Q73" ca="1">"("&amp;TEXT(INDIRECT(ADDRESS(ROW($D$38)+$A73,P$63+2)),"0.0")&amp;"%)"</f>
        <v>(0.0%)</v>
      </c>
      <c r="R73" s="17" cm="1">
        <f t="array" aca="1" ref="R73" ca="1">INDIRECT(ADDRESS(ROW($D$38)+$A73,R$63))</f>
        <v>4.6520000000000001</v>
      </c>
      <c r="S73" s="22" t="str" cm="1">
        <f t="array" aca="1" ref="S73" ca="1">"("&amp;TEXT(INDIRECT(ADDRESS(ROW($D$38)+$A73,R$63+2)),"0.0")&amp;"%)"</f>
        <v>(0.2%)</v>
      </c>
      <c r="T73" s="6"/>
    </row>
    <row r="74" spans="1:20" x14ac:dyDescent="0.3">
      <c r="A74" s="1">
        <v>8</v>
      </c>
      <c r="B74" s="6"/>
      <c r="C74" s="24" t="str">
        <f t="shared" ca="1" si="39"/>
        <v>ifx_w_lu2</v>
      </c>
      <c r="D74" s="10" cm="1">
        <f t="array" aca="1" ref="D74" ca="1">INDIRECT(ADDRESS(ROW($D$38)+$A74,D$63))</f>
        <v>7.0250000000000004</v>
      </c>
      <c r="E74" s="9" t="str" cm="1">
        <f t="array" aca="1" ref="E74" ca="1">"("&amp;TEXT(INDIRECT(ADDRESS(ROW($D$38)+$A74,D$63+2)),"0.0")&amp;"%)"</f>
        <v>(2.7%)</v>
      </c>
      <c r="F74" s="8" cm="1">
        <f t="array" aca="1" ref="F74" ca="1">INDIRECT(ADDRESS(ROW($D$38)+$A74,F$63))</f>
        <v>5.4059999999999997</v>
      </c>
      <c r="G74" s="9" t="str" cm="1">
        <f t="array" aca="1" ref="G74" ca="1">"("&amp;TEXT(INDIRECT(ADDRESS(ROW($D$38)+$A74,F$63+2)),"0.0")&amp;"%)"</f>
        <v>(0.1%)</v>
      </c>
      <c r="H74" s="8" cm="1">
        <f t="array" aca="1" ref="H74" ca="1">INDIRECT(ADDRESS(ROW($D$38)+$A74,H$63))</f>
        <v>0</v>
      </c>
      <c r="I74" s="9" t="str" cm="1">
        <f t="array" aca="1" ref="I74" ca="1">"("&amp;TEXT(INDIRECT(ADDRESS(ROW($D$38)+$A74,H$63+2)),"0.0")&amp;"%)"</f>
        <v>(0.0%)</v>
      </c>
      <c r="J74" s="8" cm="1">
        <f t="array" aca="1" ref="J74" ca="1">INDIRECT(ADDRESS(ROW($D$38)+$A74,J$63))</f>
        <v>6.5430000000000001</v>
      </c>
      <c r="K74" s="11" t="str" cm="1">
        <f t="array" aca="1" ref="K74" ca="1">"("&amp;TEXT(INDIRECT(ADDRESS(ROW($D$38)+$A74,J$63+2)),"0.0")&amp;"%)"</f>
        <v>(0.1%)</v>
      </c>
      <c r="L74" s="16" cm="1">
        <f t="array" aca="1" ref="L74" ca="1">INDIRECT(ADDRESS(ROW($D$38)+$A74,L$63))</f>
        <v>4.3250000000000002</v>
      </c>
      <c r="M74" s="20" t="str" cm="1">
        <f t="array" aca="1" ref="M74" ca="1">"("&amp;TEXT(INDIRECT(ADDRESS(ROW($D$38)+$A74,L$63+2)),"0.0")&amp;"%)"</f>
        <v>(2.7%)</v>
      </c>
      <c r="N74" s="17" cm="1">
        <f t="array" aca="1" ref="N74" ca="1">INDIRECT(ADDRESS(ROW($D$38)+$A74,N$63))</f>
        <v>1.9710000000000001</v>
      </c>
      <c r="O74" s="20" t="str" cm="1">
        <f t="array" aca="1" ref="O74" ca="1">"("&amp;TEXT(INDIRECT(ADDRESS(ROW($D$38)+$A74,N$63+2)),"0.0")&amp;"%)"</f>
        <v>(0.9%)</v>
      </c>
      <c r="P74" s="17" cm="1">
        <f t="array" aca="1" ref="P74" ca="1">INDIRECT(ADDRESS(ROW($D$38)+$A74,P$63))</f>
        <v>0</v>
      </c>
      <c r="Q74" s="20" t="str" cm="1">
        <f t="array" aca="1" ref="Q74" ca="1">"("&amp;TEXT(INDIRECT(ADDRESS(ROW($D$38)+$A74,P$63+2)),"0.0")&amp;"%)"</f>
        <v>(0.0%)</v>
      </c>
      <c r="R74" s="17" cm="1">
        <f t="array" aca="1" ref="R74" ca="1">INDIRECT(ADDRESS(ROW($D$38)+$A74,R$63))</f>
        <v>4.641</v>
      </c>
      <c r="S74" s="22" t="str" cm="1">
        <f t="array" aca="1" ref="S74" ca="1">"("&amp;TEXT(INDIRECT(ADDRESS(ROW($D$38)+$A74,R$63+2)),"0.0")&amp;"%)"</f>
        <v>(0.3%)</v>
      </c>
      <c r="T74" s="6"/>
    </row>
    <row r="75" spans="1:20" x14ac:dyDescent="0.3">
      <c r="A75" s="1">
        <v>9</v>
      </c>
      <c r="B75" s="6"/>
      <c r="C75" s="24" t="str">
        <f t="shared" ca="1" si="39"/>
        <v>ifx_w_lu2_o3</v>
      </c>
      <c r="D75" s="10" cm="1">
        <f t="array" aca="1" ref="D75" ca="1">INDIRECT(ADDRESS(ROW($D$38)+$A75,D$63))</f>
        <v>7.1749999999999998</v>
      </c>
      <c r="E75" s="9" t="str" cm="1">
        <f t="array" aca="1" ref="E75" ca="1">"("&amp;TEXT(INDIRECT(ADDRESS(ROW($D$38)+$A75,D$63+2)),"0.0")&amp;"%)"</f>
        <v>(2.3%)</v>
      </c>
      <c r="F75" s="8" cm="1">
        <f t="array" aca="1" ref="F75" ca="1">INDIRECT(ADDRESS(ROW($D$38)+$A75,F$63))</f>
        <v>5.4119999999999999</v>
      </c>
      <c r="G75" s="9" t="str" cm="1">
        <f t="array" aca="1" ref="G75" ca="1">"("&amp;TEXT(INDIRECT(ADDRESS(ROW($D$38)+$A75,F$63+2)),"0.0")&amp;"%)"</f>
        <v>(0.1%)</v>
      </c>
      <c r="H75" s="8" cm="1">
        <f t="array" aca="1" ref="H75" ca="1">INDIRECT(ADDRESS(ROW($D$38)+$A75,H$63))</f>
        <v>0</v>
      </c>
      <c r="I75" s="9" t="str" cm="1">
        <f t="array" aca="1" ref="I75" ca="1">"("&amp;TEXT(INDIRECT(ADDRESS(ROW($D$38)+$A75,H$63+2)),"0.0")&amp;"%)"</f>
        <v>(0.0%)</v>
      </c>
      <c r="J75" s="8" cm="1">
        <f t="array" aca="1" ref="J75" ca="1">INDIRECT(ADDRESS(ROW($D$38)+$A75,J$63))</f>
        <v>6.5129999999999999</v>
      </c>
      <c r="K75" s="11" t="str" cm="1">
        <f t="array" aca="1" ref="K75" ca="1">"("&amp;TEXT(INDIRECT(ADDRESS(ROW($D$38)+$A75,J$63+2)),"0.0")&amp;"%)"</f>
        <v>(0.1%)</v>
      </c>
      <c r="L75" s="16" cm="1">
        <f t="array" aca="1" ref="L75" ca="1">INDIRECT(ADDRESS(ROW($D$38)+$A75,L$63))</f>
        <v>4.2249999999999996</v>
      </c>
      <c r="M75" s="20" t="str" cm="1">
        <f t="array" aca="1" ref="M75" ca="1">"("&amp;TEXT(INDIRECT(ADDRESS(ROW($D$38)+$A75,L$63+2)),"0.0")&amp;"%)"</f>
        <v>(2.3%)</v>
      </c>
      <c r="N75" s="17" cm="1">
        <f t="array" aca="1" ref="N75" ca="1">INDIRECT(ADDRESS(ROW($D$38)+$A75,N$63))</f>
        <v>2.0150000000000001</v>
      </c>
      <c r="O75" s="20" t="str" cm="1">
        <f t="array" aca="1" ref="O75" ca="1">"("&amp;TEXT(INDIRECT(ADDRESS(ROW($D$38)+$A75,N$63+2)),"0.0")&amp;"%)"</f>
        <v>(1.0%)</v>
      </c>
      <c r="P75" s="17" cm="1">
        <f t="array" aca="1" ref="P75" ca="1">INDIRECT(ADDRESS(ROW($D$38)+$A75,P$63))</f>
        <v>0</v>
      </c>
      <c r="Q75" s="20" t="str" cm="1">
        <f t="array" aca="1" ref="Q75" ca="1">"("&amp;TEXT(INDIRECT(ADDRESS(ROW($D$38)+$A75,P$63+2)),"0.0")&amp;"%)"</f>
        <v>(0.0%)</v>
      </c>
      <c r="R75" s="17" cm="1">
        <f t="array" aca="1" ref="R75" ca="1">INDIRECT(ADDRESS(ROW($D$38)+$A75,R$63))</f>
        <v>4.6310000000000002</v>
      </c>
      <c r="S75" s="22" t="str" cm="1">
        <f t="array" aca="1" ref="S75" ca="1">"("&amp;TEXT(INDIRECT(ADDRESS(ROW($D$38)+$A75,R$63+2)),"0.0")&amp;"%)"</f>
        <v>(0.3%)</v>
      </c>
      <c r="T75" s="6"/>
    </row>
    <row r="76" spans="1:20" x14ac:dyDescent="0.3">
      <c r="A76" s="1">
        <v>10</v>
      </c>
      <c r="B76" s="6"/>
      <c r="C76" s="24" t="str">
        <f t="shared" ca="1" si="39"/>
        <v>ifx_w_lu4</v>
      </c>
      <c r="D76" s="10" cm="1">
        <f t="array" aca="1" ref="D76" ca="1">INDIRECT(ADDRESS(ROW($D$38)+$A76,D$63))</f>
        <v>6.95</v>
      </c>
      <c r="E76" s="9" t="str" cm="1">
        <f t="array" aca="1" ref="E76" ca="1">"("&amp;TEXT(INDIRECT(ADDRESS(ROW($D$38)+$A76,D$63+2)),"0.0")&amp;"%)"</f>
        <v>(1.8%)</v>
      </c>
      <c r="F76" s="8" cm="1">
        <f t="array" aca="1" ref="F76" ca="1">INDIRECT(ADDRESS(ROW($D$38)+$A76,F$63))</f>
        <v>5.3949999999999996</v>
      </c>
      <c r="G76" s="9" t="str" cm="1">
        <f t="array" aca="1" ref="G76" ca="1">"("&amp;TEXT(INDIRECT(ADDRESS(ROW($D$38)+$A76,F$63+2)),"0.0")&amp;"%)"</f>
        <v>(0.0%)</v>
      </c>
      <c r="H76" s="8" cm="1">
        <f t="array" aca="1" ref="H76" ca="1">INDIRECT(ADDRESS(ROW($D$38)+$A76,H$63))</f>
        <v>0</v>
      </c>
      <c r="I76" s="9" t="str" cm="1">
        <f t="array" aca="1" ref="I76" ca="1">"("&amp;TEXT(INDIRECT(ADDRESS(ROW($D$38)+$A76,H$63+2)),"0.0")&amp;"%)"</f>
        <v>(0.0%)</v>
      </c>
      <c r="J76" s="8" cm="1">
        <f t="array" aca="1" ref="J76" ca="1">INDIRECT(ADDRESS(ROW($D$38)+$A76,J$63))</f>
        <v>6.5209999999999999</v>
      </c>
      <c r="K76" s="11" t="str" cm="1">
        <f t="array" aca="1" ref="K76" ca="1">"("&amp;TEXT(INDIRECT(ADDRESS(ROW($D$38)+$A76,J$63+2)),"0.0")&amp;"%)"</f>
        <v>(0.1%)</v>
      </c>
      <c r="L76" s="16" cm="1">
        <f t="array" aca="1" ref="L76" ca="1">INDIRECT(ADDRESS(ROW($D$38)+$A76,L$63))</f>
        <v>3.9750000000000001</v>
      </c>
      <c r="M76" s="20" t="str" cm="1">
        <f t="array" aca="1" ref="M76" ca="1">"("&amp;TEXT(INDIRECT(ADDRESS(ROW($D$38)+$A76,L$63+2)),"0.0")&amp;"%)"</f>
        <v>(2.9%)</v>
      </c>
      <c r="N76" s="17" cm="1">
        <f t="array" aca="1" ref="N76" ca="1">INDIRECT(ADDRESS(ROW($D$38)+$A76,N$63))</f>
        <v>1.9550000000000001</v>
      </c>
      <c r="O76" s="20" t="str" cm="1">
        <f t="array" aca="1" ref="O76" ca="1">"("&amp;TEXT(INDIRECT(ADDRESS(ROW($D$38)+$A76,N$63+2)),"0.0")&amp;"%)"</f>
        <v>(1.0%)</v>
      </c>
      <c r="P76" s="17" cm="1">
        <f t="array" aca="1" ref="P76" ca="1">INDIRECT(ADDRESS(ROW($D$38)+$A76,P$63))</f>
        <v>0</v>
      </c>
      <c r="Q76" s="20" t="str" cm="1">
        <f t="array" aca="1" ref="Q76" ca="1">"("&amp;TEXT(INDIRECT(ADDRESS(ROW($D$38)+$A76,P$63+2)),"0.0")&amp;"%)"</f>
        <v>(0.0%)</v>
      </c>
      <c r="R76" s="17" cm="1">
        <f t="array" aca="1" ref="R76" ca="1">INDIRECT(ADDRESS(ROW($D$38)+$A76,R$63))</f>
        <v>4.6189999999999998</v>
      </c>
      <c r="S76" s="22" t="str" cm="1">
        <f t="array" aca="1" ref="S76" ca="1">"("&amp;TEXT(INDIRECT(ADDRESS(ROW($D$38)+$A76,R$63+2)),"0.0")&amp;"%)"</f>
        <v>(0.2%)</v>
      </c>
      <c r="T76" s="6"/>
    </row>
    <row r="77" spans="1:20" ht="25" thickBot="1" x14ac:dyDescent="0.35">
      <c r="A77" s="1">
        <v>11</v>
      </c>
      <c r="B77" s="6"/>
      <c r="C77" s="25" t="str">
        <f t="shared" ca="1" si="39"/>
        <v>ifx_w_lu8</v>
      </c>
      <c r="D77" s="12" cm="1">
        <f t="array" aca="1" ref="D77" ca="1">INDIRECT(ADDRESS(ROW($D$38)+$A77,D$63))</f>
        <v>6.9249999999999998</v>
      </c>
      <c r="E77" s="13" t="str" cm="1">
        <f t="array" aca="1" ref="E77" ca="1">"("&amp;TEXT(INDIRECT(ADDRESS(ROW($D$38)+$A77,D$63+2)),"0.0")&amp;"%)"</f>
        <v>(1.3%)</v>
      </c>
      <c r="F77" s="14" cm="1">
        <f t="array" aca="1" ref="F77" ca="1">INDIRECT(ADDRESS(ROW($D$38)+$A77,F$63))</f>
        <v>5.4109999999999996</v>
      </c>
      <c r="G77" s="13" t="str" cm="1">
        <f t="array" aca="1" ref="G77" ca="1">"("&amp;TEXT(INDIRECT(ADDRESS(ROW($D$38)+$A77,F$63+2)),"0.0")&amp;"%)"</f>
        <v>(0.1%)</v>
      </c>
      <c r="H77" s="14" cm="1">
        <f t="array" aca="1" ref="H77" ca="1">INDIRECT(ADDRESS(ROW($D$38)+$A77,H$63))</f>
        <v>0</v>
      </c>
      <c r="I77" s="13" t="str" cm="1">
        <f t="array" aca="1" ref="I77" ca="1">"("&amp;TEXT(INDIRECT(ADDRESS(ROW($D$38)+$A77,H$63+2)),"0.0")&amp;"%)"</f>
        <v>(0.0%)</v>
      </c>
      <c r="J77" s="14" cm="1">
        <f t="array" aca="1" ref="J77" ca="1">INDIRECT(ADDRESS(ROW($D$38)+$A77,J$63))</f>
        <v>6.5259999999999998</v>
      </c>
      <c r="K77" s="15" t="str" cm="1">
        <f t="array" aca="1" ref="K77" ca="1">"("&amp;TEXT(INDIRECT(ADDRESS(ROW($D$38)+$A77,J$63+2)),"0.0")&amp;"%)"</f>
        <v>(0.1%)</v>
      </c>
      <c r="L77" s="18" cm="1">
        <f t="array" aca="1" ref="L77" ca="1">INDIRECT(ADDRESS(ROW($D$38)+$A77,L$63))</f>
        <v>4.2750000000000004</v>
      </c>
      <c r="M77" s="21" t="str" cm="1">
        <f t="array" aca="1" ref="M77" ca="1">"("&amp;TEXT(INDIRECT(ADDRESS(ROW($D$38)+$A77,L$63+2)),"0.0")&amp;"%)"</f>
        <v>(3.6%)</v>
      </c>
      <c r="N77" s="19" cm="1">
        <f t="array" aca="1" ref="N77" ca="1">INDIRECT(ADDRESS(ROW($D$38)+$A77,N$63))</f>
        <v>1.899</v>
      </c>
      <c r="O77" s="21" t="str" cm="1">
        <f t="array" aca="1" ref="O77" ca="1">"("&amp;TEXT(INDIRECT(ADDRESS(ROW($D$38)+$A77,N$63+2)),"0.0")&amp;"%)"</f>
        <v>(0.8%)</v>
      </c>
      <c r="P77" s="19" cm="1">
        <f t="array" aca="1" ref="P77" ca="1">INDIRECT(ADDRESS(ROW($D$38)+$A77,P$63))</f>
        <v>0</v>
      </c>
      <c r="Q77" s="21" t="str" cm="1">
        <f t="array" aca="1" ref="Q77" ca="1">"("&amp;TEXT(INDIRECT(ADDRESS(ROW($D$38)+$A77,P$63+2)),"0.0")&amp;"%)"</f>
        <v>(0.0%)</v>
      </c>
      <c r="R77" s="19" cm="1">
        <f t="array" aca="1" ref="R77" ca="1">INDIRECT(ADDRESS(ROW($D$38)+$A77,R$63))</f>
        <v>4.6180000000000003</v>
      </c>
      <c r="S77" s="23" t="str" cm="1">
        <f t="array" aca="1" ref="S77" ca="1">"("&amp;TEXT(INDIRECT(ADDRESS(ROW($D$38)+$A77,R$63+2)),"0.0")&amp;"%)"</f>
        <v>(0.2%)</v>
      </c>
      <c r="T77" s="6"/>
    </row>
    <row r="78" spans="1:20" x14ac:dyDescent="0.3">
      <c r="A78" s="1">
        <v>12</v>
      </c>
      <c r="B78" s="6"/>
      <c r="C78" s="33" t="str">
        <f t="shared" ca="1" si="39"/>
        <v>g++</v>
      </c>
      <c r="D78" s="34" cm="1">
        <f t="array" aca="1" ref="D78" ca="1">INDIRECT(ADDRESS(ROW($D$38)+$A78,D$63))</f>
        <v>7.06</v>
      </c>
      <c r="E78" s="35" t="str" cm="1">
        <f t="array" aca="1" ref="E78" ca="1">"("&amp;TEXT(INDIRECT(ADDRESS(ROW($D$38)+$A78,D$63+2)),"0.0")&amp;"%)"</f>
        <v>(0.4%)</v>
      </c>
      <c r="F78" s="36" cm="1">
        <f t="array" aca="1" ref="F78" ca="1">INDIRECT(ADDRESS(ROW($D$38)+$A78,F$63))</f>
        <v>32.329000000000001</v>
      </c>
      <c r="G78" s="35" t="str" cm="1">
        <f t="array" aca="1" ref="G78" ca="1">"("&amp;TEXT(INDIRECT(ADDRESS(ROW($D$38)+$A78,F$63+2)),"0.0")&amp;"%)"</f>
        <v>(0.0%)</v>
      </c>
      <c r="H78" s="36" cm="1">
        <f t="array" aca="1" ref="H78" ca="1">INDIRECT(ADDRESS(ROW($D$38)+$A78,H$63))</f>
        <v>12.544</v>
      </c>
      <c r="I78" s="35" t="str" cm="1">
        <f t="array" aca="1" ref="I78" ca="1">"("&amp;TEXT(INDIRECT(ADDRESS(ROW($D$38)+$A78,H$63+2)),"0.0")&amp;"%)"</f>
        <v>(1.7%)</v>
      </c>
      <c r="J78" s="36" cm="1">
        <f t="array" aca="1" ref="J78" ca="1">INDIRECT(ADDRESS(ROW($D$38)+$A78,J$63))</f>
        <v>18.759</v>
      </c>
      <c r="K78" s="37" t="str" cm="1">
        <f t="array" aca="1" ref="K78" ca="1">"("&amp;TEXT(INDIRECT(ADDRESS(ROW($D$38)+$A78,J$63+2)),"0.0")&amp;"%)"</f>
        <v>(0.1%)</v>
      </c>
      <c r="L78" s="38" cm="1">
        <f t="array" aca="1" ref="L78" ca="1">INDIRECT(ADDRESS(ROW($D$38)+$A78,L$63))</f>
        <v>7.2329999999999997</v>
      </c>
      <c r="M78" s="39" t="str" cm="1">
        <f t="array" aca="1" ref="M78" ca="1">"("&amp;TEXT(INDIRECT(ADDRESS(ROW($D$38)+$A78,L$63+2)),"0.0")&amp;"%)"</f>
        <v>(0.4%)</v>
      </c>
      <c r="N78" s="40" cm="1">
        <f t="array" aca="1" ref="N78" ca="1">INDIRECT(ADDRESS(ROW($D$38)+$A78,N$63))</f>
        <v>26.992000000000001</v>
      </c>
      <c r="O78" s="39" t="str" cm="1">
        <f t="array" aca="1" ref="O78" ca="1">"("&amp;TEXT(INDIRECT(ADDRESS(ROW($D$38)+$A78,N$63+2)),"0.0")&amp;"%)"</f>
        <v>(0.1%)</v>
      </c>
      <c r="P78" s="40" cm="1">
        <f t="array" aca="1" ref="P78" ca="1">INDIRECT(ADDRESS(ROW($D$38)+$A78,P$63))</f>
        <v>12.734999999999999</v>
      </c>
      <c r="Q78" s="39" t="str" cm="1">
        <f t="array" aca="1" ref="Q78" ca="1">"("&amp;TEXT(INDIRECT(ADDRESS(ROW($D$38)+$A78,P$63+2)),"0.0")&amp;"%)"</f>
        <v>(1.8%)</v>
      </c>
      <c r="R78" s="40" cm="1">
        <f t="array" aca="1" ref="R78" ca="1">INDIRECT(ADDRESS(ROW($D$38)+$A78,R$63))</f>
        <v>18.765000000000001</v>
      </c>
      <c r="S78" s="41" t="str" cm="1">
        <f t="array" aca="1" ref="S78" ca="1">"("&amp;TEXT(INDIRECT(ADDRESS(ROW($D$38)+$A78,R$63+2)),"0.0")&amp;"%)"</f>
        <v>(0.1%)</v>
      </c>
      <c r="T78" s="6"/>
    </row>
    <row r="79" spans="1:20" x14ac:dyDescent="0.3">
      <c r="A79" s="1">
        <v>13</v>
      </c>
      <c r="B79" s="6"/>
      <c r="C79" s="24" t="str">
        <f t="shared" ca="1" si="39"/>
        <v>g++_o3</v>
      </c>
      <c r="D79" s="10" cm="1">
        <f t="array" aca="1" ref="D79" ca="1">INDIRECT(ADDRESS(ROW($D$38)+$A79,D$63))</f>
        <v>7.1559999999999997</v>
      </c>
      <c r="E79" s="9" t="str" cm="1">
        <f t="array" aca="1" ref="E79" ca="1">"("&amp;TEXT(INDIRECT(ADDRESS(ROW($D$38)+$A79,D$63+2)),"0.0")&amp;"%)"</f>
        <v>(0.6%)</v>
      </c>
      <c r="F79" s="8" cm="1">
        <f t="array" aca="1" ref="F79" ca="1">INDIRECT(ADDRESS(ROW($D$38)+$A79,F$63))</f>
        <v>18.843</v>
      </c>
      <c r="G79" s="9" t="str" cm="1">
        <f t="array" aca="1" ref="G79" ca="1">"("&amp;TEXT(INDIRECT(ADDRESS(ROW($D$38)+$A79,F$63+2)),"0.0")&amp;"%)"</f>
        <v>(0.0%)</v>
      </c>
      <c r="H79" s="8" cm="1">
        <f t="array" aca="1" ref="H79" ca="1">INDIRECT(ADDRESS(ROW($D$38)+$A79,H$63))</f>
        <v>12.518000000000001</v>
      </c>
      <c r="I79" s="9" t="str" cm="1">
        <f t="array" aca="1" ref="I79" ca="1">"("&amp;TEXT(INDIRECT(ADDRESS(ROW($D$38)+$A79,H$63+2)),"0.0")&amp;"%)"</f>
        <v>(1.8%)</v>
      </c>
      <c r="J79" s="8" cm="1">
        <f t="array" aca="1" ref="J79" ca="1">INDIRECT(ADDRESS(ROW($D$38)+$A79,J$63))</f>
        <v>12.528</v>
      </c>
      <c r="K79" s="11" t="str" cm="1">
        <f t="array" aca="1" ref="K79" ca="1">"("&amp;TEXT(INDIRECT(ADDRESS(ROW($D$38)+$A79,J$63+2)),"0.0")&amp;"%)"</f>
        <v>(0.1%)</v>
      </c>
      <c r="L79" s="16" cm="1">
        <f t="array" aca="1" ref="L79" ca="1">INDIRECT(ADDRESS(ROW($D$38)+$A79,L$63))</f>
        <v>7.093</v>
      </c>
      <c r="M79" s="20" t="str" cm="1">
        <f t="array" aca="1" ref="M79" ca="1">"("&amp;TEXT(INDIRECT(ADDRESS(ROW($D$38)+$A79,L$63+2)),"0.0")&amp;"%)"</f>
        <v>(0.6%)</v>
      </c>
      <c r="N79" s="17" cm="1">
        <f t="array" aca="1" ref="N79" ca="1">INDIRECT(ADDRESS(ROW($D$38)+$A79,N$63))</f>
        <v>8.0920000000000005</v>
      </c>
      <c r="O79" s="20" t="str" cm="1">
        <f t="array" aca="1" ref="O79" ca="1">"("&amp;TEXT(INDIRECT(ADDRESS(ROW($D$38)+$A79,N$63+2)),"0.0")&amp;"%)"</f>
        <v>(0.1%)</v>
      </c>
      <c r="P79" s="17" cm="1">
        <f t="array" aca="1" ref="P79" ca="1">INDIRECT(ADDRESS(ROW($D$38)+$A79,P$63))</f>
        <v>11.769</v>
      </c>
      <c r="Q79" s="20" t="str" cm="1">
        <f t="array" aca="1" ref="Q79" ca="1">"("&amp;TEXT(INDIRECT(ADDRESS(ROW($D$38)+$A79,P$63+2)),"0.0")&amp;"%)"</f>
        <v>(2.2%)</v>
      </c>
      <c r="R79" s="17" cm="1">
        <f t="array" aca="1" ref="R79" ca="1">INDIRECT(ADDRESS(ROW($D$38)+$A79,R$63))</f>
        <v>9.6219999999999999</v>
      </c>
      <c r="S79" s="22" t="str" cm="1">
        <f t="array" aca="1" ref="S79" ca="1">"("&amp;TEXT(INDIRECT(ADDRESS(ROW($D$38)+$A79,R$63+2)),"0.0")&amp;"%)"</f>
        <v>(0.1%)</v>
      </c>
      <c r="T79" s="6"/>
    </row>
    <row r="80" spans="1:20" x14ac:dyDescent="0.3">
      <c r="A80" s="1">
        <v>14</v>
      </c>
      <c r="B80" s="6"/>
      <c r="C80" s="24" t="str">
        <f t="shared" ca="1" si="39"/>
        <v>g++_w_lu2</v>
      </c>
      <c r="D80" s="10" cm="1">
        <f t="array" aca="1" ref="D80" ca="1">INDIRECT(ADDRESS(ROW($D$38)+$A80,D$63))</f>
        <v>5.0640000000000001</v>
      </c>
      <c r="E80" s="9" t="str" cm="1">
        <f t="array" aca="1" ref="E80" ca="1">"("&amp;TEXT(INDIRECT(ADDRESS(ROW($D$38)+$A80,D$63+2)),"0.0")&amp;"%)"</f>
        <v>(0.9%)</v>
      </c>
      <c r="F80" s="8" cm="1">
        <f t="array" aca="1" ref="F80" ca="1">INDIRECT(ADDRESS(ROW($D$38)+$A80,F$63))</f>
        <v>2.7879999999999998</v>
      </c>
      <c r="G80" s="9" t="str" cm="1">
        <f t="array" aca="1" ref="G80" ca="1">"("&amp;TEXT(INDIRECT(ADDRESS(ROW($D$38)+$A80,F$63+2)),"0.0")&amp;"%)"</f>
        <v>(0.4%)</v>
      </c>
      <c r="H80" s="8" cm="1">
        <f t="array" aca="1" ref="H80" ca="1">INDIRECT(ADDRESS(ROW($D$38)+$A80,H$63))</f>
        <v>5.92</v>
      </c>
      <c r="I80" s="9" t="str" cm="1">
        <f t="array" aca="1" ref="I80" ca="1">"("&amp;TEXT(INDIRECT(ADDRESS(ROW($D$38)+$A80,H$63+2)),"0.0")&amp;"%)"</f>
        <v>(2.7%)</v>
      </c>
      <c r="J80" s="8" cm="1">
        <f t="array" aca="1" ref="J80" ca="1">INDIRECT(ADDRESS(ROW($D$38)+$A80,J$63))</f>
        <v>6.0579999999999998</v>
      </c>
      <c r="K80" s="11" t="str" cm="1">
        <f t="array" aca="1" ref="K80" ca="1">"("&amp;TEXT(INDIRECT(ADDRESS(ROW($D$38)+$A80,J$63+2)),"0.0")&amp;"%)"</f>
        <v>(0.5%)</v>
      </c>
      <c r="L80" s="16" cm="1">
        <f t="array" aca="1" ref="L80" ca="1">INDIRECT(ADDRESS(ROW($D$38)+$A80,L$63))</f>
        <v>5.1130000000000004</v>
      </c>
      <c r="M80" s="20" t="str" cm="1">
        <f t="array" aca="1" ref="M80" ca="1">"("&amp;TEXT(INDIRECT(ADDRESS(ROW($D$38)+$A80,L$63+2)),"0.0")&amp;"%)"</f>
        <v>(0.9%)</v>
      </c>
      <c r="N80" s="17" cm="1">
        <f t="array" aca="1" ref="N80" ca="1">INDIRECT(ADDRESS(ROW($D$38)+$A80,N$63))</f>
        <v>2.76</v>
      </c>
      <c r="O80" s="20" t="str" cm="1">
        <f t="array" aca="1" ref="O80" ca="1">"("&amp;TEXT(INDIRECT(ADDRESS(ROW($D$38)+$A80,N$63+2)),"0.0")&amp;"%)"</f>
        <v>(0.4%)</v>
      </c>
      <c r="P80" s="17" cm="1">
        <f t="array" aca="1" ref="P80" ca="1">INDIRECT(ADDRESS(ROW($D$38)+$A80,P$63))</f>
        <v>6.9770000000000003</v>
      </c>
      <c r="Q80" s="20" t="str" cm="1">
        <f t="array" aca="1" ref="Q80" ca="1">"("&amp;TEXT(INDIRECT(ADDRESS(ROW($D$38)+$A80,P$63+2)),"0.0")&amp;"%)"</f>
        <v>(2.2%)</v>
      </c>
      <c r="R80" s="17" cm="1">
        <f t="array" aca="1" ref="R80" ca="1">INDIRECT(ADDRESS(ROW($D$38)+$A80,R$63))</f>
        <v>6.0069999999999997</v>
      </c>
      <c r="S80" s="22" t="str" cm="1">
        <f t="array" aca="1" ref="S80" ca="1">"("&amp;TEXT(INDIRECT(ADDRESS(ROW($D$38)+$A80,R$63+2)),"0.0")&amp;"%)"</f>
        <v>(0.3%)</v>
      </c>
      <c r="T80" s="6"/>
    </row>
    <row r="81" spans="1:20" x14ac:dyDescent="0.3">
      <c r="A81" s="1">
        <v>15</v>
      </c>
      <c r="B81" s="6"/>
      <c r="C81" s="24" t="str">
        <f t="shared" ca="1" si="39"/>
        <v>g++_w_lu2_o3</v>
      </c>
      <c r="D81" s="10" cm="1">
        <f t="array" aca="1" ref="D81" ca="1">INDIRECT(ADDRESS(ROW($D$38)+$A81,D$63))</f>
        <v>5.048</v>
      </c>
      <c r="E81" s="9" t="str" cm="1">
        <f t="array" aca="1" ref="E81" ca="1">"("&amp;TEXT(INDIRECT(ADDRESS(ROW($D$38)+$A81,D$63+2)),"0.0")&amp;"%)"</f>
        <v>(0.9%)</v>
      </c>
      <c r="F81" s="8" cm="1">
        <f t="array" aca="1" ref="F81" ca="1">INDIRECT(ADDRESS(ROW($D$38)+$A81,F$63))</f>
        <v>2.786</v>
      </c>
      <c r="G81" s="9" t="str" cm="1">
        <f t="array" aca="1" ref="G81" ca="1">"("&amp;TEXT(INDIRECT(ADDRESS(ROW($D$38)+$A81,F$63+2)),"0.0")&amp;"%)"</f>
        <v>(0.4%)</v>
      </c>
      <c r="H81" s="8" cm="1">
        <f t="array" aca="1" ref="H81" ca="1">INDIRECT(ADDRESS(ROW($D$38)+$A81,H$63))</f>
        <v>6.601</v>
      </c>
      <c r="I81" s="9" t="str" cm="1">
        <f t="array" aca="1" ref="I81" ca="1">"("&amp;TEXT(INDIRECT(ADDRESS(ROW($D$38)+$A81,H$63+2)),"0.0")&amp;"%)"</f>
        <v>(1.7%)</v>
      </c>
      <c r="J81" s="8" cm="1">
        <f t="array" aca="1" ref="J81" ca="1">INDIRECT(ADDRESS(ROW($D$38)+$A81,J$63))</f>
        <v>6.1310000000000002</v>
      </c>
      <c r="K81" s="11" t="str" cm="1">
        <f t="array" aca="1" ref="K81" ca="1">"("&amp;TEXT(INDIRECT(ADDRESS(ROW($D$38)+$A81,J$63+2)),"0.0")&amp;"%)"</f>
        <v>(0.6%)</v>
      </c>
      <c r="L81" s="16" cm="1">
        <f t="array" aca="1" ref="L81" ca="1">INDIRECT(ADDRESS(ROW($D$38)+$A81,L$63))</f>
        <v>5.2960000000000003</v>
      </c>
      <c r="M81" s="20" t="str" cm="1">
        <f t="array" aca="1" ref="M81" ca="1">"("&amp;TEXT(INDIRECT(ADDRESS(ROW($D$38)+$A81,L$63+2)),"0.0")&amp;"%)"</f>
        <v>(1.0%)</v>
      </c>
      <c r="N81" s="17" cm="1">
        <f t="array" aca="1" ref="N81" ca="1">INDIRECT(ADDRESS(ROW($D$38)+$A81,N$63))</f>
        <v>2.7890000000000001</v>
      </c>
      <c r="O81" s="20" t="str" cm="1">
        <f t="array" aca="1" ref="O81" ca="1">"("&amp;TEXT(INDIRECT(ADDRESS(ROW($D$38)+$A81,N$63+2)),"0.0")&amp;"%)"</f>
        <v>(0.4%)</v>
      </c>
      <c r="P81" s="17" cm="1">
        <f t="array" aca="1" ref="P81" ca="1">INDIRECT(ADDRESS(ROW($D$38)+$A81,P$63))</f>
        <v>6.7919999999999998</v>
      </c>
      <c r="Q81" s="20" t="str" cm="1">
        <f t="array" aca="1" ref="Q81" ca="1">"("&amp;TEXT(INDIRECT(ADDRESS(ROW($D$38)+$A81,P$63+2)),"0.0")&amp;"%)"</f>
        <v>(1.3%)</v>
      </c>
      <c r="R81" s="17" cm="1">
        <f t="array" aca="1" ref="R81" ca="1">INDIRECT(ADDRESS(ROW($D$38)+$A81,R$63))</f>
        <v>6.01</v>
      </c>
      <c r="S81" s="22" t="str" cm="1">
        <f t="array" aca="1" ref="S81" ca="1">"("&amp;TEXT(INDIRECT(ADDRESS(ROW($D$38)+$A81,R$63+2)),"0.0")&amp;"%)"</f>
        <v>(0.3%)</v>
      </c>
      <c r="T81" s="6"/>
    </row>
    <row r="82" spans="1:20" x14ac:dyDescent="0.3">
      <c r="A82" s="1">
        <v>16</v>
      </c>
      <c r="B82" s="6"/>
      <c r="C82" s="24" t="str">
        <f t="shared" ca="1" si="39"/>
        <v>g++_w_lu4</v>
      </c>
      <c r="D82" s="10" cm="1">
        <f t="array" aca="1" ref="D82" ca="1">INDIRECT(ADDRESS(ROW($D$38)+$A82,D$63))</f>
        <v>4.9530000000000003</v>
      </c>
      <c r="E82" s="9" t="str" cm="1">
        <f t="array" aca="1" ref="E82" ca="1">"("&amp;TEXT(INDIRECT(ADDRESS(ROW($D$38)+$A82,D$63+2)),"0.0")&amp;"%)"</f>
        <v>(1.2%)</v>
      </c>
      <c r="F82" s="8" cm="1">
        <f t="array" aca="1" ref="F82" ca="1">INDIRECT(ADDRESS(ROW($D$38)+$A82,F$63))</f>
        <v>2.0190000000000001</v>
      </c>
      <c r="G82" s="9" t="str" cm="1">
        <f t="array" aca="1" ref="G82" ca="1">"("&amp;TEXT(INDIRECT(ADDRESS(ROW($D$38)+$A82,F$63+2)),"0.0")&amp;"%)"</f>
        <v>(0.9%)</v>
      </c>
      <c r="H82" s="8" cm="1">
        <f t="array" aca="1" ref="H82" ca="1">INDIRECT(ADDRESS(ROW($D$38)+$A82,H$63))</f>
        <v>4.0659999999999998</v>
      </c>
      <c r="I82" s="9" t="str" cm="1">
        <f t="array" aca="1" ref="I82" ca="1">"("&amp;TEXT(INDIRECT(ADDRESS(ROW($D$38)+$A82,H$63+2)),"0.0")&amp;"%)"</f>
        <v>(2.4%)</v>
      </c>
      <c r="J82" s="8" cm="1">
        <f t="array" aca="1" ref="J82" ca="1">INDIRECT(ADDRESS(ROW($D$38)+$A82,J$63))</f>
        <v>5.7750000000000004</v>
      </c>
      <c r="K82" s="11" t="str" cm="1">
        <f t="array" aca="1" ref="K82" ca="1">"("&amp;TEXT(INDIRECT(ADDRESS(ROW($D$38)+$A82,J$63+2)),"0.0")&amp;"%)"</f>
        <v>(0.7%)</v>
      </c>
      <c r="L82" s="16" cm="1">
        <f t="array" aca="1" ref="L82" ca="1">INDIRECT(ADDRESS(ROW($D$38)+$A82,L$63))</f>
        <v>4.952</v>
      </c>
      <c r="M82" s="20" t="str" cm="1">
        <f t="array" aca="1" ref="M82" ca="1">"("&amp;TEXT(INDIRECT(ADDRESS(ROW($D$38)+$A82,L$63+2)),"0.0")&amp;"%)"</f>
        <v>(0.9%)</v>
      </c>
      <c r="N82" s="17" cm="1">
        <f t="array" aca="1" ref="N82" ca="1">INDIRECT(ADDRESS(ROW($D$38)+$A82,N$63))</f>
        <v>1.992</v>
      </c>
      <c r="O82" s="20" t="str" cm="1">
        <f t="array" aca="1" ref="O82" ca="1">"("&amp;TEXT(INDIRECT(ADDRESS(ROW($D$38)+$A82,N$63+2)),"0.0")&amp;"%)"</f>
        <v>(0.7%)</v>
      </c>
      <c r="P82" s="17" cm="1">
        <f t="array" aca="1" ref="P82" ca="1">INDIRECT(ADDRESS(ROW($D$38)+$A82,P$63))</f>
        <v>4.3710000000000004</v>
      </c>
      <c r="Q82" s="20" t="str" cm="1">
        <f t="array" aca="1" ref="Q82" ca="1">"("&amp;TEXT(INDIRECT(ADDRESS(ROW($D$38)+$A82,P$63+2)),"0.0")&amp;"%)"</f>
        <v>(5.3%)</v>
      </c>
      <c r="R82" s="17" cm="1">
        <f t="array" aca="1" ref="R82" ca="1">INDIRECT(ADDRESS(ROW($D$38)+$A82,R$63))</f>
        <v>5.6639999999999997</v>
      </c>
      <c r="S82" s="22" t="str" cm="1">
        <f t="array" aca="1" ref="S82" ca="1">"("&amp;TEXT(INDIRECT(ADDRESS(ROW($D$38)+$A82,R$63+2)),"0.0")&amp;"%)"</f>
        <v>(0.3%)</v>
      </c>
      <c r="T82" s="6"/>
    </row>
    <row r="83" spans="1:20" x14ac:dyDescent="0.3">
      <c r="A83" s="1">
        <v>17</v>
      </c>
      <c r="B83" s="6"/>
      <c r="C83" s="24" t="str">
        <f t="shared" ca="1" si="39"/>
        <v>g++_w_lu8</v>
      </c>
      <c r="D83" s="10" cm="1">
        <f t="array" aca="1" ref="D83" ca="1">INDIRECT(ADDRESS(ROW($D$38)+$A83,D$63))</f>
        <v>4.8540000000000001</v>
      </c>
      <c r="E83" s="9" t="str" cm="1">
        <f t="array" aca="1" ref="E83" ca="1">"("&amp;TEXT(INDIRECT(ADDRESS(ROW($D$38)+$A83,D$63+2)),"0.0")&amp;"%)"</f>
        <v>(1.1%)</v>
      </c>
      <c r="F83" s="8" cm="1">
        <f t="array" aca="1" ref="F83" ca="1">INDIRECT(ADDRESS(ROW($D$38)+$A83,F$63))</f>
        <v>1.9610000000000001</v>
      </c>
      <c r="G83" s="9" t="str" cm="1">
        <f t="array" aca="1" ref="G83" ca="1">"("&amp;TEXT(INDIRECT(ADDRESS(ROW($D$38)+$A83,F$63+2)),"0.0")&amp;"%)"</f>
        <v>(0.9%)</v>
      </c>
      <c r="H83" s="8" cm="1">
        <f t="array" aca="1" ref="H83" ca="1">INDIRECT(ADDRESS(ROW($D$38)+$A83,H$63))</f>
        <v>3.1619999999999999</v>
      </c>
      <c r="I83" s="9" t="str" cm="1">
        <f t="array" aca="1" ref="I83" ca="1">"("&amp;TEXT(INDIRECT(ADDRESS(ROW($D$38)+$A83,H$63+2)),"0.0")&amp;"%)"</f>
        <v>(3.3%)</v>
      </c>
      <c r="J83" s="8" cm="1">
        <f t="array" aca="1" ref="J83" ca="1">INDIRECT(ADDRESS(ROW($D$38)+$A83,J$63))</f>
        <v>5.75</v>
      </c>
      <c r="K83" s="11" t="str" cm="1">
        <f t="array" aca="1" ref="K83" ca="1">"("&amp;TEXT(INDIRECT(ADDRESS(ROW($D$38)+$A83,J$63+2)),"0.0")&amp;"%)"</f>
        <v>(0.7%)</v>
      </c>
      <c r="L83" s="16" cm="1">
        <f t="array" aca="1" ref="L83" ca="1">INDIRECT(ADDRESS(ROW($D$38)+$A83,L$63))</f>
        <v>4.9770000000000003</v>
      </c>
      <c r="M83" s="20" t="str" cm="1">
        <f t="array" aca="1" ref="M83" ca="1">"("&amp;TEXT(INDIRECT(ADDRESS(ROW($D$38)+$A83,L$63+2)),"0.0")&amp;"%)"</f>
        <v>(1.2%)</v>
      </c>
      <c r="N83" s="17" cm="1">
        <f t="array" aca="1" ref="N83" ca="1">INDIRECT(ADDRESS(ROW($D$38)+$A83,N$63))</f>
        <v>1.956</v>
      </c>
      <c r="O83" s="20" t="str" cm="1">
        <f t="array" aca="1" ref="O83" ca="1">"("&amp;TEXT(INDIRECT(ADDRESS(ROW($D$38)+$A83,N$63+2)),"0.0")&amp;"%)"</f>
        <v>(0.7%)</v>
      </c>
      <c r="P83" s="17" cm="1">
        <f t="array" aca="1" ref="P83" ca="1">INDIRECT(ADDRESS(ROW($D$38)+$A83,P$63))</f>
        <v>3.7970000000000002</v>
      </c>
      <c r="Q83" s="20" t="str" cm="1">
        <f t="array" aca="1" ref="Q83" ca="1">"("&amp;TEXT(INDIRECT(ADDRESS(ROW($D$38)+$A83,P$63+2)),"0.0")&amp;"%)"</f>
        <v>(11.9%)</v>
      </c>
      <c r="R83" s="17" cm="1">
        <f t="array" aca="1" ref="R83" ca="1">INDIRECT(ADDRESS(ROW($D$38)+$A83,R$63))</f>
        <v>5.6139999999999999</v>
      </c>
      <c r="S83" s="22" t="str" cm="1">
        <f t="array" aca="1" ref="S83" ca="1">"("&amp;TEXT(INDIRECT(ADDRESS(ROW($D$38)+$A83,R$63+2)),"0.0")&amp;"%)"</f>
        <v>(0.3%)</v>
      </c>
      <c r="T83" s="6"/>
    </row>
    <row r="84" spans="1:20" x14ac:dyDescent="0.3">
      <c r="A84" s="1">
        <v>18</v>
      </c>
      <c r="B84" s="6"/>
      <c r="C84" s="24" t="str">
        <f t="shared" ca="1" si="39"/>
        <v>icx</v>
      </c>
      <c r="D84" s="10" cm="1">
        <f t="array" aca="1" ref="D84" ca="1">INDIRECT(ADDRESS(ROW($D$38)+$A84,D$63))</f>
        <v>4.6360000000000001</v>
      </c>
      <c r="E84" s="9" t="str" cm="1">
        <f t="array" aca="1" ref="E84" ca="1">"("&amp;TEXT(INDIRECT(ADDRESS(ROW($D$38)+$A84,D$63+2)),"0.0")&amp;"%)"</f>
        <v>(1.1%)</v>
      </c>
      <c r="F84" s="8" cm="1">
        <f t="array" aca="1" ref="F84" ca="1">INDIRECT(ADDRESS(ROW($D$38)+$A84,F$63))</f>
        <v>1.8939999999999999</v>
      </c>
      <c r="G84" s="9" t="str" cm="1">
        <f t="array" aca="1" ref="G84" ca="1">"("&amp;TEXT(INDIRECT(ADDRESS(ROW($D$38)+$A84,F$63+2)),"0.0")&amp;"%)"</f>
        <v>(1.3%)</v>
      </c>
      <c r="H84" s="8" cm="1">
        <f t="array" aca="1" ref="H84" ca="1">INDIRECT(ADDRESS(ROW($D$38)+$A84,H$63))</f>
        <v>0</v>
      </c>
      <c r="I84" s="9" t="str" cm="1">
        <f t="array" aca="1" ref="I84" ca="1">"("&amp;TEXT(INDIRECT(ADDRESS(ROW($D$38)+$A84,H$63+2)),"0.0")&amp;"%)"</f>
        <v>(0.0%)</v>
      </c>
      <c r="J84" s="8" cm="1">
        <f t="array" aca="1" ref="J84" ca="1">INDIRECT(ADDRESS(ROW($D$38)+$A84,J$63))</f>
        <v>5.47</v>
      </c>
      <c r="K84" s="11" t="str" cm="1">
        <f t="array" aca="1" ref="K84" ca="1">"("&amp;TEXT(INDIRECT(ADDRESS(ROW($D$38)+$A84,J$63+2)),"0.0")&amp;"%)"</f>
        <v>(0.7%)</v>
      </c>
      <c r="L84" s="16" cm="1">
        <f t="array" aca="1" ref="L84" ca="1">INDIRECT(ADDRESS(ROW($D$38)+$A84,L$63))</f>
        <v>4.16</v>
      </c>
      <c r="M84" s="20" t="str" cm="1">
        <f t="array" aca="1" ref="M84" ca="1">"("&amp;TEXT(INDIRECT(ADDRESS(ROW($D$38)+$A84,L$63+2)),"0.0")&amp;"%)"</f>
        <v>(0.9%)</v>
      </c>
      <c r="N84" s="17" cm="1">
        <f t="array" aca="1" ref="N84" ca="1">INDIRECT(ADDRESS(ROW($D$38)+$A84,N$63))</f>
        <v>1.893</v>
      </c>
      <c r="O84" s="20" t="str" cm="1">
        <f t="array" aca="1" ref="O84" ca="1">"("&amp;TEXT(INDIRECT(ADDRESS(ROW($D$38)+$A84,N$63+2)),"0.0")&amp;"%)"</f>
        <v>(1.2%)</v>
      </c>
      <c r="P84" s="17" cm="1">
        <f t="array" aca="1" ref="P84" ca="1">INDIRECT(ADDRESS(ROW($D$38)+$A84,P$63))</f>
        <v>0</v>
      </c>
      <c r="Q84" s="20" t="str" cm="1">
        <f t="array" aca="1" ref="Q84" ca="1">"("&amp;TEXT(INDIRECT(ADDRESS(ROW($D$38)+$A84,P$63+2)),"0.0")&amp;"%)"</f>
        <v>(0.0%)</v>
      </c>
      <c r="R84" s="17" cm="1">
        <f t="array" aca="1" ref="R84" ca="1">INDIRECT(ADDRESS(ROW($D$38)+$A84,R$63))</f>
        <v>4.6909999999999998</v>
      </c>
      <c r="S84" s="22" t="str" cm="1">
        <f t="array" aca="1" ref="S84" ca="1">"("&amp;TEXT(INDIRECT(ADDRESS(ROW($D$38)+$A84,R$63+2)),"0.0")&amp;"%)"</f>
        <v>(0.3%)</v>
      </c>
      <c r="T84" s="6"/>
    </row>
    <row r="85" spans="1:20" x14ac:dyDescent="0.3">
      <c r="A85" s="1">
        <v>19</v>
      </c>
      <c r="B85" s="6"/>
      <c r="C85" s="24" t="str">
        <f t="shared" ca="1" si="39"/>
        <v>icx_o3</v>
      </c>
      <c r="D85" s="10" cm="1">
        <f t="array" aca="1" ref="D85" ca="1">INDIRECT(ADDRESS(ROW($D$38)+$A85,D$63))</f>
        <v>4.5919999999999996</v>
      </c>
      <c r="E85" s="9" t="str" cm="1">
        <f t="array" aca="1" ref="E85" ca="1">"("&amp;TEXT(INDIRECT(ADDRESS(ROW($D$38)+$A85,D$63+2)),"0.0")&amp;"%)"</f>
        <v>(1.4%)</v>
      </c>
      <c r="F85" s="8" cm="1">
        <f t="array" aca="1" ref="F85" ca="1">INDIRECT(ADDRESS(ROW($D$38)+$A85,F$63))</f>
        <v>1.9279999999999999</v>
      </c>
      <c r="G85" s="9" t="str" cm="1">
        <f t="array" aca="1" ref="G85" ca="1">"("&amp;TEXT(INDIRECT(ADDRESS(ROW($D$38)+$A85,F$63+2)),"0.0")&amp;"%)"</f>
        <v>(1.0%)</v>
      </c>
      <c r="H85" s="8" cm="1">
        <f t="array" aca="1" ref="H85" ca="1">INDIRECT(ADDRESS(ROW($D$38)+$A85,H$63))</f>
        <v>0</v>
      </c>
      <c r="I85" s="9" t="str" cm="1">
        <f t="array" aca="1" ref="I85" ca="1">"("&amp;TEXT(INDIRECT(ADDRESS(ROW($D$38)+$A85,H$63+2)),"0.0")&amp;"%)"</f>
        <v>(0.0%)</v>
      </c>
      <c r="J85" s="8" cm="1">
        <f t="array" aca="1" ref="J85" ca="1">INDIRECT(ADDRESS(ROW($D$38)+$A85,J$63))</f>
        <v>5.3570000000000002</v>
      </c>
      <c r="K85" s="11" t="str" cm="1">
        <f t="array" aca="1" ref="K85" ca="1">"("&amp;TEXT(INDIRECT(ADDRESS(ROW($D$38)+$A85,J$63+2)),"0.0")&amp;"%)"</f>
        <v>(0.6%)</v>
      </c>
      <c r="L85" s="16" cm="1">
        <f t="array" aca="1" ref="L85" ca="1">INDIRECT(ADDRESS(ROW($D$38)+$A85,L$63))</f>
        <v>4.21</v>
      </c>
      <c r="M85" s="20" t="str" cm="1">
        <f t="array" aca="1" ref="M85" ca="1">"("&amp;TEXT(INDIRECT(ADDRESS(ROW($D$38)+$A85,L$63+2)),"0.0")&amp;"%)"</f>
        <v>(1.3%)</v>
      </c>
      <c r="N85" s="17" cm="1">
        <f t="array" aca="1" ref="N85" ca="1">INDIRECT(ADDRESS(ROW($D$38)+$A85,N$63))</f>
        <v>1.86</v>
      </c>
      <c r="O85" s="20" t="str" cm="1">
        <f t="array" aca="1" ref="O85" ca="1">"("&amp;TEXT(INDIRECT(ADDRESS(ROW($D$38)+$A85,N$63+2)),"0.0")&amp;"%)"</f>
        <v>(1.1%)</v>
      </c>
      <c r="P85" s="17" cm="1">
        <f t="array" aca="1" ref="P85" ca="1">INDIRECT(ADDRESS(ROW($D$38)+$A85,P$63))</f>
        <v>0</v>
      </c>
      <c r="Q85" s="20" t="str" cm="1">
        <f t="array" aca="1" ref="Q85" ca="1">"("&amp;TEXT(INDIRECT(ADDRESS(ROW($D$38)+$A85,P$63+2)),"0.0")&amp;"%)"</f>
        <v>(0.0%)</v>
      </c>
      <c r="R85" s="17" cm="1">
        <f t="array" aca="1" ref="R85" ca="1">INDIRECT(ADDRESS(ROW($D$38)+$A85,R$63))</f>
        <v>4.6849999999999996</v>
      </c>
      <c r="S85" s="22" t="str" cm="1">
        <f t="array" aca="1" ref="S85" ca="1">"("&amp;TEXT(INDIRECT(ADDRESS(ROW($D$38)+$A85,R$63+2)),"0.0")&amp;"%)"</f>
        <v>(0.3%)</v>
      </c>
      <c r="T85" s="6"/>
    </row>
    <row r="86" spans="1:20" x14ac:dyDescent="0.3">
      <c r="A86" s="1">
        <v>20</v>
      </c>
      <c r="B86" s="6"/>
      <c r="C86" s="24" t="str">
        <f t="shared" ca="1" si="39"/>
        <v>icx_w_lu2</v>
      </c>
      <c r="D86" s="10" cm="1">
        <f t="array" aca="1" ref="D86" ca="1">INDIRECT(ADDRESS(ROW($D$38)+$A86,D$63))</f>
        <v>4.6109999999999998</v>
      </c>
      <c r="E86" s="9" t="str" cm="1">
        <f t="array" aca="1" ref="E86" ca="1">"("&amp;TEXT(INDIRECT(ADDRESS(ROW($D$38)+$A86,D$63+2)),"0.0")&amp;"%)"</f>
        <v>(1.2%)</v>
      </c>
      <c r="F86" s="8" cm="1">
        <f t="array" aca="1" ref="F86" ca="1">INDIRECT(ADDRESS(ROW($D$38)+$A86,F$63))</f>
        <v>1.915</v>
      </c>
      <c r="G86" s="9" t="str" cm="1">
        <f t="array" aca="1" ref="G86" ca="1">"("&amp;TEXT(INDIRECT(ADDRESS(ROW($D$38)+$A86,F$63+2)),"0.0")&amp;"%)"</f>
        <v>(0.9%)</v>
      </c>
      <c r="H86" s="8" cm="1">
        <f t="array" aca="1" ref="H86" ca="1">INDIRECT(ADDRESS(ROW($D$38)+$A86,H$63))</f>
        <v>0</v>
      </c>
      <c r="I86" s="9" t="str" cm="1">
        <f t="array" aca="1" ref="I86" ca="1">"("&amp;TEXT(INDIRECT(ADDRESS(ROW($D$38)+$A86,H$63+2)),"0.0")&amp;"%)"</f>
        <v>(0.0%)</v>
      </c>
      <c r="J86" s="8" cm="1">
        <f t="array" aca="1" ref="J86" ca="1">INDIRECT(ADDRESS(ROW($D$38)+$A86,J$63))</f>
        <v>5.4279999999999999</v>
      </c>
      <c r="K86" s="11" t="str" cm="1">
        <f t="array" aca="1" ref="K86" ca="1">"("&amp;TEXT(INDIRECT(ADDRESS(ROW($D$38)+$A86,J$63+2)),"0.0")&amp;"%)"</f>
        <v>(0.6%)</v>
      </c>
      <c r="L86" s="16" cm="1">
        <f t="array" aca="1" ref="L86" ca="1">INDIRECT(ADDRESS(ROW($D$38)+$A86,L$63))</f>
        <v>4.18</v>
      </c>
      <c r="M86" s="20" t="str" cm="1">
        <f t="array" aca="1" ref="M86" ca="1">"("&amp;TEXT(INDIRECT(ADDRESS(ROW($D$38)+$A86,L$63+2)),"0.0")&amp;"%)"</f>
        <v>(1.2%)</v>
      </c>
      <c r="N86" s="17" cm="1">
        <f t="array" aca="1" ref="N86" ca="1">INDIRECT(ADDRESS(ROW($D$38)+$A86,N$63))</f>
        <v>1.7829999999999999</v>
      </c>
      <c r="O86" s="20" t="str" cm="1">
        <f t="array" aca="1" ref="O86" ca="1">"("&amp;TEXT(INDIRECT(ADDRESS(ROW($D$38)+$A86,N$63+2)),"0.0")&amp;"%)"</f>
        <v>(1.0%)</v>
      </c>
      <c r="P86" s="17" cm="1">
        <f t="array" aca="1" ref="P86" ca="1">INDIRECT(ADDRESS(ROW($D$38)+$A86,P$63))</f>
        <v>0</v>
      </c>
      <c r="Q86" s="20" t="str" cm="1">
        <f t="array" aca="1" ref="Q86" ca="1">"("&amp;TEXT(INDIRECT(ADDRESS(ROW($D$38)+$A86,P$63+2)),"0.0")&amp;"%)"</f>
        <v>(0.0%)</v>
      </c>
      <c r="R86" s="17" cm="1">
        <f t="array" aca="1" ref="R86" ca="1">INDIRECT(ADDRESS(ROW($D$38)+$A86,R$63))</f>
        <v>4.6529999999999996</v>
      </c>
      <c r="S86" s="22" t="str" cm="1">
        <f t="array" aca="1" ref="S86" ca="1">"("&amp;TEXT(INDIRECT(ADDRESS(ROW($D$38)+$A86,R$63+2)),"0.0")&amp;"%)"</f>
        <v>(0.2%)</v>
      </c>
      <c r="T86" s="6"/>
    </row>
    <row r="87" spans="1:20" x14ac:dyDescent="0.3">
      <c r="A87" s="1">
        <v>21</v>
      </c>
      <c r="B87" s="6"/>
      <c r="C87" s="24" t="str">
        <f t="shared" ca="1" si="39"/>
        <v>icx_w_lu2_o3</v>
      </c>
      <c r="D87" s="10" cm="1">
        <f t="array" aca="1" ref="D87" ca="1">INDIRECT(ADDRESS(ROW($D$38)+$A87,D$63))</f>
        <v>4.5549999999999997</v>
      </c>
      <c r="E87" s="9" t="str" cm="1">
        <f t="array" aca="1" ref="E87" ca="1">"("&amp;TEXT(INDIRECT(ADDRESS(ROW($D$38)+$A87,D$63+2)),"0.0")&amp;"%)"</f>
        <v>(1.0%)</v>
      </c>
      <c r="F87" s="8" cm="1">
        <f t="array" aca="1" ref="F87" ca="1">INDIRECT(ADDRESS(ROW($D$38)+$A87,F$63))</f>
        <v>1.875</v>
      </c>
      <c r="G87" s="9" t="str" cm="1">
        <f t="array" aca="1" ref="G87" ca="1">"("&amp;TEXT(INDIRECT(ADDRESS(ROW($D$38)+$A87,F$63+2)),"0.0")&amp;"%)"</f>
        <v>(1.1%)</v>
      </c>
      <c r="H87" s="8" cm="1">
        <f t="array" aca="1" ref="H87" ca="1">INDIRECT(ADDRESS(ROW($D$38)+$A87,H$63))</f>
        <v>0</v>
      </c>
      <c r="I87" s="9" t="str" cm="1">
        <f t="array" aca="1" ref="I87" ca="1">"("&amp;TEXT(INDIRECT(ADDRESS(ROW($D$38)+$A87,H$63+2)),"0.0")&amp;"%)"</f>
        <v>(0.0%)</v>
      </c>
      <c r="J87" s="8" cm="1">
        <f t="array" aca="1" ref="J87" ca="1">INDIRECT(ADDRESS(ROW($D$38)+$A87,J$63))</f>
        <v>5.266</v>
      </c>
      <c r="K87" s="11" t="str" cm="1">
        <f t="array" aca="1" ref="K87" ca="1">"("&amp;TEXT(INDIRECT(ADDRESS(ROW($D$38)+$A87,J$63+2)),"0.0")&amp;"%)"</f>
        <v>(0.4%)</v>
      </c>
      <c r="L87" s="16" cm="1">
        <f t="array" aca="1" ref="L87" ca="1">INDIRECT(ADDRESS(ROW($D$38)+$A87,L$63))</f>
        <v>4.1639999999999997</v>
      </c>
      <c r="M87" s="20" t="str" cm="1">
        <f t="array" aca="1" ref="M87" ca="1">"("&amp;TEXT(INDIRECT(ADDRESS(ROW($D$38)+$A87,L$63+2)),"0.0")&amp;"%)"</f>
        <v>(1.0%)</v>
      </c>
      <c r="N87" s="17" cm="1">
        <f t="array" aca="1" ref="N87" ca="1">INDIRECT(ADDRESS(ROW($D$38)+$A87,N$63))</f>
        <v>1.897</v>
      </c>
      <c r="O87" s="20" t="str" cm="1">
        <f t="array" aca="1" ref="O87" ca="1">"("&amp;TEXT(INDIRECT(ADDRESS(ROW($D$38)+$A87,N$63+2)),"0.0")&amp;"%)"</f>
        <v>(1.1%)</v>
      </c>
      <c r="P87" s="17" cm="1">
        <f t="array" aca="1" ref="P87" ca="1">INDIRECT(ADDRESS(ROW($D$38)+$A87,P$63))</f>
        <v>0</v>
      </c>
      <c r="Q87" s="20" t="str" cm="1">
        <f t="array" aca="1" ref="Q87" ca="1">"("&amp;TEXT(INDIRECT(ADDRESS(ROW($D$38)+$A87,P$63+2)),"0.0")&amp;"%)"</f>
        <v>(0.0%)</v>
      </c>
      <c r="R87" s="17" cm="1">
        <f t="array" aca="1" ref="R87" ca="1">INDIRECT(ADDRESS(ROW($D$38)+$A87,R$63))</f>
        <v>4.6680000000000001</v>
      </c>
      <c r="S87" s="22" t="str" cm="1">
        <f t="array" aca="1" ref="S87" ca="1">"("&amp;TEXT(INDIRECT(ADDRESS(ROW($D$38)+$A87,R$63+2)),"0.0")&amp;"%)"</f>
        <v>(0.2%)</v>
      </c>
      <c r="T87" s="6"/>
    </row>
    <row r="88" spans="1:20" x14ac:dyDescent="0.3">
      <c r="A88" s="1">
        <v>22</v>
      </c>
      <c r="B88" s="6"/>
      <c r="C88" s="24" t="str">
        <f t="shared" ca="1" si="39"/>
        <v>icx_w_lu4</v>
      </c>
      <c r="D88" s="10" cm="1">
        <f t="array" aca="1" ref="D88" ca="1">INDIRECT(ADDRESS(ROW($D$38)+$A88,D$63))</f>
        <v>4.6449999999999996</v>
      </c>
      <c r="E88" s="9" t="str" cm="1">
        <f t="array" aca="1" ref="E88" ca="1">"("&amp;TEXT(INDIRECT(ADDRESS(ROW($D$38)+$A88,D$63+2)),"0.0")&amp;"%)"</f>
        <v>(1.0%)</v>
      </c>
      <c r="F88" s="8" cm="1">
        <f t="array" aca="1" ref="F88" ca="1">INDIRECT(ADDRESS(ROW($D$38)+$A88,F$63))</f>
        <v>1.891</v>
      </c>
      <c r="G88" s="9" t="str" cm="1">
        <f t="array" aca="1" ref="G88" ca="1">"("&amp;TEXT(INDIRECT(ADDRESS(ROW($D$38)+$A88,F$63+2)),"0.0")&amp;"%)"</f>
        <v>(1.0%)</v>
      </c>
      <c r="H88" s="8" cm="1">
        <f t="array" aca="1" ref="H88" ca="1">INDIRECT(ADDRESS(ROW($D$38)+$A88,H$63))</f>
        <v>0</v>
      </c>
      <c r="I88" s="9" t="str" cm="1">
        <f t="array" aca="1" ref="I88" ca="1">"("&amp;TEXT(INDIRECT(ADDRESS(ROW($D$38)+$A88,H$63+2)),"0.0")&amp;"%)"</f>
        <v>(0.0%)</v>
      </c>
      <c r="J88" s="8" cm="1">
        <f t="array" aca="1" ref="J88" ca="1">INDIRECT(ADDRESS(ROW($D$38)+$A88,J$63))</f>
        <v>5.2469999999999999</v>
      </c>
      <c r="K88" s="11" t="str" cm="1">
        <f t="array" aca="1" ref="K88" ca="1">"("&amp;TEXT(INDIRECT(ADDRESS(ROW($D$38)+$A88,J$63+2)),"0.0")&amp;"%)"</f>
        <v>(0.3%)</v>
      </c>
      <c r="L88" s="16" cm="1">
        <f t="array" aca="1" ref="L88" ca="1">INDIRECT(ADDRESS(ROW($D$38)+$A88,L$63))</f>
        <v>4.1269999999999998</v>
      </c>
      <c r="M88" s="20" t="str" cm="1">
        <f t="array" aca="1" ref="M88" ca="1">"("&amp;TEXT(INDIRECT(ADDRESS(ROW($D$38)+$A88,L$63+2)),"0.0")&amp;"%)"</f>
        <v>(1.1%)</v>
      </c>
      <c r="N88" s="17" cm="1">
        <f t="array" aca="1" ref="N88" ca="1">INDIRECT(ADDRESS(ROW($D$38)+$A88,N$63))</f>
        <v>1.962</v>
      </c>
      <c r="O88" s="20" t="str" cm="1">
        <f t="array" aca="1" ref="O88" ca="1">"("&amp;TEXT(INDIRECT(ADDRESS(ROW($D$38)+$A88,N$63+2)),"0.0")&amp;"%)"</f>
        <v>(1.4%)</v>
      </c>
      <c r="P88" s="17" cm="1">
        <f t="array" aca="1" ref="P88" ca="1">INDIRECT(ADDRESS(ROW($D$38)+$A88,P$63))</f>
        <v>0</v>
      </c>
      <c r="Q88" s="20" t="str" cm="1">
        <f t="array" aca="1" ref="Q88" ca="1">"("&amp;TEXT(INDIRECT(ADDRESS(ROW($D$38)+$A88,P$63+2)),"0.0")&amp;"%)"</f>
        <v>(0.0%)</v>
      </c>
      <c r="R88" s="17" cm="1">
        <f t="array" aca="1" ref="R88" ca="1">INDIRECT(ADDRESS(ROW($D$38)+$A88,R$63))</f>
        <v>4.6539999999999999</v>
      </c>
      <c r="S88" s="22" t="str" cm="1">
        <f t="array" aca="1" ref="S88" ca="1">"("&amp;TEXT(INDIRECT(ADDRESS(ROW($D$38)+$A88,R$63+2)),"0.0")&amp;"%)"</f>
        <v>(0.3%)</v>
      </c>
      <c r="T88" s="6"/>
    </row>
    <row r="89" spans="1:20" ht="25" thickBot="1" x14ac:dyDescent="0.35">
      <c r="A89" s="1">
        <v>23</v>
      </c>
      <c r="B89" s="6"/>
      <c r="C89" s="25" t="str">
        <f t="shared" ca="1" si="39"/>
        <v>icx_w_lu8</v>
      </c>
      <c r="D89" s="12" cm="1">
        <f t="array" aca="1" ref="D89" ca="1">INDIRECT(ADDRESS(ROW($D$38)+$A89,D$63))</f>
        <v>4.5510000000000002</v>
      </c>
      <c r="E89" s="13" t="str" cm="1">
        <f t="array" aca="1" ref="E89" ca="1">"("&amp;TEXT(INDIRECT(ADDRESS(ROW($D$38)+$A89,D$63+2)),"0.0")&amp;"%)"</f>
        <v>(0.7%)</v>
      </c>
      <c r="F89" s="14" cm="1">
        <f t="array" aca="1" ref="F89" ca="1">INDIRECT(ADDRESS(ROW($D$38)+$A89,F$63))</f>
        <v>1.8979999999999999</v>
      </c>
      <c r="G89" s="13" t="str" cm="1">
        <f t="array" aca="1" ref="G89" ca="1">"("&amp;TEXT(INDIRECT(ADDRESS(ROW($D$38)+$A89,F$63+2)),"0.0")&amp;"%)"</f>
        <v>(1.1%)</v>
      </c>
      <c r="H89" s="14" cm="1">
        <f t="array" aca="1" ref="H89" ca="1">INDIRECT(ADDRESS(ROW($D$38)+$A89,H$63))</f>
        <v>0</v>
      </c>
      <c r="I89" s="13" t="str" cm="1">
        <f t="array" aca="1" ref="I89" ca="1">"("&amp;TEXT(INDIRECT(ADDRESS(ROW($D$38)+$A89,H$63+2)),"0.0")&amp;"%)"</f>
        <v>(0.0%)</v>
      </c>
      <c r="J89" s="14" cm="1">
        <f t="array" aca="1" ref="J89" ca="1">INDIRECT(ADDRESS(ROW($D$38)+$A89,J$63))</f>
        <v>5.266</v>
      </c>
      <c r="K89" s="15" t="str" cm="1">
        <f t="array" aca="1" ref="K89" ca="1">"("&amp;TEXT(INDIRECT(ADDRESS(ROW($D$38)+$A89,J$63+2)),"0.0")&amp;"%)"</f>
        <v>(0.2%)</v>
      </c>
      <c r="L89" s="18" cm="1">
        <f t="array" aca="1" ref="L89" ca="1">INDIRECT(ADDRESS(ROW($D$38)+$A89,L$63))</f>
        <v>4.1589999999999998</v>
      </c>
      <c r="M89" s="21" t="str" cm="1">
        <f t="array" aca="1" ref="M89" ca="1">"("&amp;TEXT(INDIRECT(ADDRESS(ROW($D$38)+$A89,L$63+2)),"0.0")&amp;"%)"</f>
        <v>(1.1%)</v>
      </c>
      <c r="N89" s="19" cm="1">
        <f t="array" aca="1" ref="N89" ca="1">INDIRECT(ADDRESS(ROW($D$38)+$A89,N$63))</f>
        <v>1.9510000000000001</v>
      </c>
      <c r="O89" s="21" t="str" cm="1">
        <f t="array" aca="1" ref="O89" ca="1">"("&amp;TEXT(INDIRECT(ADDRESS(ROW($D$38)+$A89,N$63+2)),"0.0")&amp;"%)"</f>
        <v>(1.2%)</v>
      </c>
      <c r="P89" s="19" cm="1">
        <f t="array" aca="1" ref="P89" ca="1">INDIRECT(ADDRESS(ROW($D$38)+$A89,P$63))</f>
        <v>0</v>
      </c>
      <c r="Q89" s="21" t="str" cm="1">
        <f t="array" aca="1" ref="Q89" ca="1">"("&amp;TEXT(INDIRECT(ADDRESS(ROW($D$38)+$A89,P$63+2)),"0.0")&amp;"%)"</f>
        <v>(0.0%)</v>
      </c>
      <c r="R89" s="19" cm="1">
        <f t="array" aca="1" ref="R89" ca="1">INDIRECT(ADDRESS(ROW($D$38)+$A89,R$63))</f>
        <v>4.66</v>
      </c>
      <c r="S89" s="23" t="str" cm="1">
        <f t="array" aca="1" ref="S89" ca="1">"("&amp;TEXT(INDIRECT(ADDRESS(ROW($D$38)+$A89,R$63+2)),"0.0")&amp;"%)"</f>
        <v>(0.2%)</v>
      </c>
      <c r="T89" s="6"/>
    </row>
    <row r="90" spans="1:20" x14ac:dyDescent="0.3">
      <c r="A90" s="1">
        <v>24</v>
      </c>
      <c r="B90" s="6"/>
      <c r="C90" s="6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</row>
  </sheetData>
  <mergeCells count="8">
    <mergeCell ref="P65:Q65"/>
    <mergeCell ref="R65:S65"/>
    <mergeCell ref="D65:E65"/>
    <mergeCell ref="F65:G65"/>
    <mergeCell ref="H65:I65"/>
    <mergeCell ref="J65:K65"/>
    <mergeCell ref="L65:M65"/>
    <mergeCell ref="N65:O6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EC33-005F-7641-AED7-74B277A054F4}">
  <dimension ref="A5:AC90"/>
  <sheetViews>
    <sheetView tabSelected="1" topLeftCell="A37" workbookViewId="0">
      <selection activeCell="U83" sqref="U83"/>
    </sheetView>
  </sheetViews>
  <sheetFormatPr baseColWidth="10" defaultRowHeight="24" x14ac:dyDescent="0.3"/>
  <cols>
    <col min="1" max="1" width="10.83203125" style="1"/>
    <col min="2" max="2" width="15.5" style="1" customWidth="1"/>
    <col min="3" max="3" width="23.33203125" style="1" customWidth="1"/>
    <col min="4" max="4" width="9.33203125" style="1" customWidth="1"/>
    <col min="5" max="5" width="11.83203125" style="1" customWidth="1"/>
    <col min="6" max="6" width="9.33203125" style="1" customWidth="1"/>
    <col min="7" max="7" width="11.83203125" style="1" customWidth="1"/>
    <col min="8" max="8" width="9.33203125" style="1" customWidth="1"/>
    <col min="9" max="9" width="11.83203125" style="1" customWidth="1"/>
    <col min="10" max="10" width="9.33203125" style="1" customWidth="1"/>
    <col min="11" max="11" width="11.83203125" style="1" customWidth="1"/>
    <col min="12" max="12" width="9.33203125" style="1" customWidth="1"/>
    <col min="13" max="13" width="11.83203125" style="1" customWidth="1"/>
    <col min="14" max="14" width="9.33203125" style="1" customWidth="1"/>
    <col min="15" max="15" width="11.83203125" style="1" customWidth="1"/>
    <col min="16" max="16" width="9.33203125" style="1" customWidth="1"/>
    <col min="17" max="17" width="11.83203125" style="1" customWidth="1"/>
    <col min="18" max="18" width="9.33203125" style="1" customWidth="1"/>
    <col min="19" max="19" width="11.83203125" style="1" customWidth="1"/>
    <col min="20" max="29" width="20.83203125" style="1" customWidth="1"/>
    <col min="30" max="16384" width="10.83203125" style="1"/>
  </cols>
  <sheetData>
    <row r="5" spans="1:29" x14ac:dyDescent="0.3">
      <c r="B5" s="1" t="s">
        <v>141</v>
      </c>
      <c r="C5" s="5">
        <v>50</v>
      </c>
    </row>
    <row r="6" spans="1:29" x14ac:dyDescent="0.3">
      <c r="C6" s="1" t="s">
        <v>142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</row>
    <row r="10" spans="1:29" ht="100" x14ac:dyDescent="0.3">
      <c r="C10" s="4" t="s">
        <v>140</v>
      </c>
      <c r="D10" s="3" t="s">
        <v>137</v>
      </c>
      <c r="G10" s="3" t="s">
        <v>143</v>
      </c>
      <c r="J10" s="3" t="s">
        <v>138</v>
      </c>
      <c r="M10" s="3" t="s">
        <v>144</v>
      </c>
      <c r="P10" s="3" t="s">
        <v>139</v>
      </c>
      <c r="S10" s="3" t="s">
        <v>145</v>
      </c>
      <c r="V10" s="3" t="s">
        <v>147</v>
      </c>
      <c r="Y10" s="3" t="s">
        <v>146</v>
      </c>
      <c r="AB10" s="3"/>
      <c r="AC10" s="3"/>
    </row>
    <row r="11" spans="1:29" x14ac:dyDescent="0.3">
      <c r="A11" s="1">
        <v>0</v>
      </c>
      <c r="C11" s="1" t="str" cm="1">
        <f t="array" aca="1" ref="C11" ca="1">INDIRECT("RawData!A"&amp;TEXT(C$5+A11,"0"))</f>
        <v>Test3/gfortran.x</v>
      </c>
      <c r="D11" s="1" cm="1">
        <f t="array" aca="1" ref="D11" ca="1">INDIRECT("RawData!"&amp;ADDRESS($C$5+$A11,D$6))</f>
        <v>8.4890000000000008</v>
      </c>
      <c r="E11" s="1" cm="1">
        <f t="array" aca="1" ref="E11" ca="1">INDIRECT("RawData!"&amp;ADDRESS($C$5+$A11,E$6))</f>
        <v>0.31046000000000001</v>
      </c>
      <c r="F11" s="1" cm="1">
        <f t="array" aca="1" ref="F11" ca="1">INDIRECT("RawData!"&amp;ADDRESS($C$5+$A11,F$6))</f>
        <v>4.9090000000000002E-2</v>
      </c>
      <c r="G11" s="1" cm="1">
        <f t="array" aca="1" ref="G11" ca="1">INDIRECT("RawData!"&amp;ADDRESS($C$5+$A11,G$6))</f>
        <v>8.5739999999999998</v>
      </c>
      <c r="H11" s="1" cm="1">
        <f t="array" aca="1" ref="H11" ca="1">INDIRECT("RawData!"&amp;ADDRESS($C$5+$A11,H$6))</f>
        <v>0.39387</v>
      </c>
      <c r="I11" s="1" cm="1">
        <f t="array" aca="1" ref="I11" ca="1">INDIRECT("RawData!"&amp;ADDRESS($C$5+$A11,I$6))</f>
        <v>6.2280000000000002E-2</v>
      </c>
      <c r="J11" s="1" cm="1">
        <f t="array" aca="1" ref="J11" ca="1">INDIRECT("RawData!"&amp;ADDRESS($C$5+$A11,J$6))</f>
        <v>5.508</v>
      </c>
      <c r="K11" s="1" cm="1">
        <f t="array" aca="1" ref="K11" ca="1">INDIRECT("RawData!"&amp;ADDRESS($C$5+$A11,K$6))</f>
        <v>0.12292</v>
      </c>
      <c r="L11" s="1" cm="1">
        <f t="array" aca="1" ref="L11" ca="1">INDIRECT("RawData!"&amp;ADDRESS($C$5+$A11,L$6))</f>
        <v>1.9429999999999999E-2</v>
      </c>
      <c r="M11" s="1" cm="1">
        <f t="array" aca="1" ref="M11" ca="1">INDIRECT("RawData!"&amp;ADDRESS($C$5+$A11,M$6))</f>
        <v>5.484</v>
      </c>
      <c r="N11" s="1" cm="1">
        <f t="array" aca="1" ref="N11" ca="1">INDIRECT("RawData!"&amp;ADDRESS($C$5+$A11,N$6))</f>
        <v>8.6550000000000002E-2</v>
      </c>
      <c r="O11" s="1" cm="1">
        <f t="array" aca="1" ref="O11" ca="1">INDIRECT("RawData!"&amp;ADDRESS($C$5+$A11,O$6))</f>
        <v>1.3679999999999999E-2</v>
      </c>
      <c r="P11" s="1" cm="1">
        <f t="array" aca="1" ref="P11" ca="1">INDIRECT("RawData!"&amp;ADDRESS($C$5+$A11,P$6))</f>
        <v>16.385999999999999</v>
      </c>
      <c r="Q11" s="1" cm="1">
        <f t="array" aca="1" ref="Q11" ca="1">INDIRECT("RawData!"&amp;ADDRESS($C$5+$A11,Q$6))</f>
        <v>1.1582300000000001</v>
      </c>
      <c r="R11" s="1" cm="1">
        <f t="array" aca="1" ref="R11" ca="1">INDIRECT("RawData!"&amp;ADDRESS($C$5+$A11,R$6))</f>
        <v>0.18312999999999999</v>
      </c>
      <c r="S11" s="1" cm="1">
        <f t="array" aca="1" ref="S11" ca="1">INDIRECT("RawData!"&amp;ADDRESS($C$5+$A11,S$6))</f>
        <v>16.646999999999998</v>
      </c>
      <c r="T11" s="1" cm="1">
        <f t="array" aca="1" ref="T11" ca="1">INDIRECT("RawData!"&amp;ADDRESS($C$5+$A11,T$6))</f>
        <v>1.0931999999999999</v>
      </c>
      <c r="U11" s="1" cm="1">
        <f t="array" aca="1" ref="U11" ca="1">INDIRECT("RawData!"&amp;ADDRESS($C$5+$A11,U$6))</f>
        <v>0.17285</v>
      </c>
      <c r="V11" s="1" cm="1">
        <f t="array" aca="1" ref="V11" ca="1">INDIRECT("RawData!"&amp;ADDRESS($C$5+$A11,V$6))</f>
        <v>8.8680000000000003</v>
      </c>
      <c r="W11" s="1" cm="1">
        <f t="array" aca="1" ref="W11" ca="1">INDIRECT("RawData!"&amp;ADDRESS($C$5+$A11,W$6))</f>
        <v>0.25266</v>
      </c>
      <c r="X11" s="1" cm="1">
        <f t="array" aca="1" ref="X11" ca="1">INDIRECT("RawData!"&amp;ADDRESS($C$5+$A11,X$6))</f>
        <v>3.9949999999999999E-2</v>
      </c>
      <c r="Y11" s="1" cm="1">
        <f t="array" aca="1" ref="Y11" ca="1">INDIRECT("RawData!"&amp;ADDRESS($C$5+$A11,Y$6))</f>
        <v>11.762</v>
      </c>
      <c r="Z11" s="1" cm="1">
        <f t="array" aca="1" ref="Z11" ca="1">INDIRECT("RawData!"&amp;ADDRESS($C$5+$A11,Z$6))</f>
        <v>9.1109999999999997E-2</v>
      </c>
      <c r="AA11" s="1" cm="1">
        <f t="array" aca="1" ref="AA11" ca="1">INDIRECT("RawData!"&amp;ADDRESS($C$5+$A11,AA$6))</f>
        <v>1.4409999999999999E-2</v>
      </c>
    </row>
    <row r="12" spans="1:29" x14ac:dyDescent="0.3">
      <c r="A12" s="1">
        <v>1</v>
      </c>
      <c r="C12" s="1" t="str" cm="1">
        <f t="array" aca="1" ref="C12" ca="1">INDIRECT("RawData!A"&amp;TEXT(C$5+A12,"0"))</f>
        <v>Test3/gfortran_o3.x</v>
      </c>
      <c r="D12" s="1" cm="1">
        <f t="array" aca="1" ref="D12" ca="1">INDIRECT("RawData!"&amp;ADDRESS($C$5+$A12,D$6))</f>
        <v>8.4459999999999997</v>
      </c>
      <c r="E12" s="1" cm="1">
        <f t="array" aca="1" ref="E12" ca="1">INDIRECT("RawData!"&amp;ADDRESS($C$5+$A12,E$6))</f>
        <v>0.31894</v>
      </c>
      <c r="F12" s="1" cm="1">
        <f t="array" aca="1" ref="F12" ca="1">INDIRECT("RawData!"&amp;ADDRESS($C$5+$A12,F$6))</f>
        <v>5.0430000000000003E-2</v>
      </c>
      <c r="G12" s="1" cm="1">
        <f t="array" aca="1" ref="G12" ca="1">INDIRECT("RawData!"&amp;ADDRESS($C$5+$A12,G$6))</f>
        <v>8.5760000000000005</v>
      </c>
      <c r="H12" s="1" cm="1">
        <f t="array" aca="1" ref="H12" ca="1">INDIRECT("RawData!"&amp;ADDRESS($C$5+$A12,H$6))</f>
        <v>0.48039999999999999</v>
      </c>
      <c r="I12" s="1" cm="1">
        <f t="array" aca="1" ref="I12" ca="1">INDIRECT("RawData!"&amp;ADDRESS($C$5+$A12,I$6))</f>
        <v>7.596E-2</v>
      </c>
      <c r="J12" s="1" cm="1">
        <f t="array" aca="1" ref="J12" ca="1">INDIRECT("RawData!"&amp;ADDRESS($C$5+$A12,J$6))</f>
        <v>5.5170000000000003</v>
      </c>
      <c r="K12" s="1" cm="1">
        <f t="array" aca="1" ref="K12" ca="1">INDIRECT("RawData!"&amp;ADDRESS($C$5+$A12,K$6))</f>
        <v>0.15226999999999999</v>
      </c>
      <c r="L12" s="1" cm="1">
        <f t="array" aca="1" ref="L12" ca="1">INDIRECT("RawData!"&amp;ADDRESS($C$5+$A12,L$6))</f>
        <v>2.4080000000000001E-2</v>
      </c>
      <c r="M12" s="1" cm="1">
        <f t="array" aca="1" ref="M12" ca="1">INDIRECT("RawData!"&amp;ADDRESS($C$5+$A12,M$6))</f>
        <v>5.617</v>
      </c>
      <c r="N12" s="1" cm="1">
        <f t="array" aca="1" ref="N12" ca="1">INDIRECT("RawData!"&amp;ADDRESS($C$5+$A12,N$6))</f>
        <v>0.12051000000000001</v>
      </c>
      <c r="O12" s="1" cm="1">
        <f t="array" aca="1" ref="O12" ca="1">INDIRECT("RawData!"&amp;ADDRESS($C$5+$A12,O$6))</f>
        <v>1.9050000000000001E-2</v>
      </c>
      <c r="P12" s="1" cm="1">
        <f t="array" aca="1" ref="P12" ca="1">INDIRECT("RawData!"&amp;ADDRESS($C$5+$A12,P$6))</f>
        <v>16.292999999999999</v>
      </c>
      <c r="Q12" s="1" cm="1">
        <f t="array" aca="1" ref="Q12" ca="1">INDIRECT("RawData!"&amp;ADDRESS($C$5+$A12,Q$6))</f>
        <v>0.84067000000000003</v>
      </c>
      <c r="R12" s="1" cm="1">
        <f t="array" aca="1" ref="R12" ca="1">INDIRECT("RawData!"&amp;ADDRESS($C$5+$A12,R$6))</f>
        <v>0.13292000000000001</v>
      </c>
      <c r="S12" s="1" cm="1">
        <f t="array" aca="1" ref="S12" ca="1">INDIRECT("RawData!"&amp;ADDRESS($C$5+$A12,S$6))</f>
        <v>15.878</v>
      </c>
      <c r="T12" s="1" cm="1">
        <f t="array" aca="1" ref="T12" ca="1">INDIRECT("RawData!"&amp;ADDRESS($C$5+$A12,T$6))</f>
        <v>0.89373999999999998</v>
      </c>
      <c r="U12" s="1" cm="1">
        <f t="array" aca="1" ref="U12" ca="1">INDIRECT("RawData!"&amp;ADDRESS($C$5+$A12,U$6))</f>
        <v>0.14130999999999999</v>
      </c>
      <c r="V12" s="1" cm="1">
        <f t="array" aca="1" ref="V12" ca="1">INDIRECT("RawData!"&amp;ADDRESS($C$5+$A12,V$6))</f>
        <v>8.4779999999999998</v>
      </c>
      <c r="W12" s="1" cm="1">
        <f t="array" aca="1" ref="W12" ca="1">INDIRECT("RawData!"&amp;ADDRESS($C$5+$A12,W$6))</f>
        <v>0.23099</v>
      </c>
      <c r="X12" s="1" cm="1">
        <f t="array" aca="1" ref="X12" ca="1">INDIRECT("RawData!"&amp;ADDRESS($C$5+$A12,X$6))</f>
        <v>3.6519999999999997E-2</v>
      </c>
      <c r="Y12" s="1" cm="1">
        <f t="array" aca="1" ref="Y12" ca="1">INDIRECT("RawData!"&amp;ADDRESS($C$5+$A12,Y$6))</f>
        <v>8.6660000000000004</v>
      </c>
      <c r="Z12" s="1" cm="1">
        <f t="array" aca="1" ref="Z12" ca="1">INDIRECT("RawData!"&amp;ADDRESS($C$5+$A12,Z$6))</f>
        <v>0.1497</v>
      </c>
      <c r="AA12" s="1" cm="1">
        <f t="array" aca="1" ref="AA12" ca="1">INDIRECT("RawData!"&amp;ADDRESS($C$5+$A12,AA$6))</f>
        <v>2.367E-2</v>
      </c>
    </row>
    <row r="13" spans="1:29" x14ac:dyDescent="0.3">
      <c r="A13" s="1">
        <v>2</v>
      </c>
      <c r="C13" s="1" t="str" cm="1">
        <f t="array" aca="1" ref="C13" ca="1">INDIRECT("RawData!A"&amp;TEXT(C$5+A13,"0"))</f>
        <v>Test3/gfortran_w_lu2.x</v>
      </c>
      <c r="D13" s="1" cm="1">
        <f t="array" aca="1" ref="D13" ca="1">INDIRECT("RawData!"&amp;ADDRESS($C$5+$A13,D$6))</f>
        <v>8.3719999999999999</v>
      </c>
      <c r="E13" s="1" cm="1">
        <f t="array" aca="1" ref="E13" ca="1">INDIRECT("RawData!"&amp;ADDRESS($C$5+$A13,E$6))</f>
        <v>0.22800000000000001</v>
      </c>
      <c r="F13" s="1" cm="1">
        <f t="array" aca="1" ref="F13" ca="1">INDIRECT("RawData!"&amp;ADDRESS($C$5+$A13,F$6))</f>
        <v>3.6049999999999999E-2</v>
      </c>
      <c r="G13" s="1" cm="1">
        <f t="array" aca="1" ref="G13" ca="1">INDIRECT("RawData!"&amp;ADDRESS($C$5+$A13,G$6))</f>
        <v>8.4809999999999999</v>
      </c>
      <c r="H13" s="1" cm="1">
        <f t="array" aca="1" ref="H13" ca="1">INDIRECT("RawData!"&amp;ADDRESS($C$5+$A13,H$6))</f>
        <v>0.38251000000000002</v>
      </c>
      <c r="I13" s="1" cm="1">
        <f t="array" aca="1" ref="I13" ca="1">INDIRECT("RawData!"&amp;ADDRESS($C$5+$A13,I$6))</f>
        <v>6.0479999999999999E-2</v>
      </c>
      <c r="J13" s="1" cm="1">
        <f t="array" aca="1" ref="J13" ca="1">INDIRECT("RawData!"&amp;ADDRESS($C$5+$A13,J$6))</f>
        <v>5.4560000000000004</v>
      </c>
      <c r="K13" s="1" cm="1">
        <f t="array" aca="1" ref="K13" ca="1">INDIRECT("RawData!"&amp;ADDRESS($C$5+$A13,K$6))</f>
        <v>0.10145999999999999</v>
      </c>
      <c r="L13" s="1" cm="1">
        <f t="array" aca="1" ref="L13" ca="1">INDIRECT("RawData!"&amp;ADDRESS($C$5+$A13,L$6))</f>
        <v>1.6039999999999999E-2</v>
      </c>
      <c r="M13" s="1" cm="1">
        <f t="array" aca="1" ref="M13" ca="1">INDIRECT("RawData!"&amp;ADDRESS($C$5+$A13,M$6))</f>
        <v>5.4859999999999998</v>
      </c>
      <c r="N13" s="1" cm="1">
        <f t="array" aca="1" ref="N13" ca="1">INDIRECT("RawData!"&amp;ADDRESS($C$5+$A13,N$6))</f>
        <v>0.11051</v>
      </c>
      <c r="O13" s="1" cm="1">
        <f t="array" aca="1" ref="O13" ca="1">INDIRECT("RawData!"&amp;ADDRESS($C$5+$A13,O$6))</f>
        <v>1.7469999999999999E-2</v>
      </c>
      <c r="P13" s="1" cm="1">
        <f t="array" aca="1" ref="P13" ca="1">INDIRECT("RawData!"&amp;ADDRESS($C$5+$A13,P$6))</f>
        <v>16.105</v>
      </c>
      <c r="Q13" s="1" cm="1">
        <f t="array" aca="1" ref="Q13" ca="1">INDIRECT("RawData!"&amp;ADDRESS($C$5+$A13,Q$6))</f>
        <v>0.90246000000000004</v>
      </c>
      <c r="R13" s="1" cm="1">
        <f t="array" aca="1" ref="R13" ca="1">INDIRECT("RawData!"&amp;ADDRESS($C$5+$A13,R$6))</f>
        <v>0.14269000000000001</v>
      </c>
      <c r="S13" s="1" cm="1">
        <f t="array" aca="1" ref="S13" ca="1">INDIRECT("RawData!"&amp;ADDRESS($C$5+$A13,S$6))</f>
        <v>17.117999999999999</v>
      </c>
      <c r="T13" s="1" cm="1">
        <f t="array" aca="1" ref="T13" ca="1">INDIRECT("RawData!"&amp;ADDRESS($C$5+$A13,T$6))</f>
        <v>1.96997</v>
      </c>
      <c r="U13" s="1" cm="1">
        <f t="array" aca="1" ref="U13" ca="1">INDIRECT("RawData!"&amp;ADDRESS($C$5+$A13,U$6))</f>
        <v>0.31147999999999998</v>
      </c>
      <c r="V13" s="1" cm="1">
        <f t="array" aca="1" ref="V13" ca="1">INDIRECT("RawData!"&amp;ADDRESS($C$5+$A13,V$6))</f>
        <v>8.5050000000000008</v>
      </c>
      <c r="W13" s="1" cm="1">
        <f t="array" aca="1" ref="W13" ca="1">INDIRECT("RawData!"&amp;ADDRESS($C$5+$A13,W$6))</f>
        <v>0.26185999999999998</v>
      </c>
      <c r="X13" s="1" cm="1">
        <f t="array" aca="1" ref="X13" ca="1">INDIRECT("RawData!"&amp;ADDRESS($C$5+$A13,X$6))</f>
        <v>4.1399999999999999E-2</v>
      </c>
      <c r="Y13" s="1" cm="1">
        <f t="array" aca="1" ref="Y13" ca="1">INDIRECT("RawData!"&amp;ADDRESS($C$5+$A13,Y$6))</f>
        <v>8.5079999999999991</v>
      </c>
      <c r="Z13" s="1" cm="1">
        <f t="array" aca="1" ref="Z13" ca="1">INDIRECT("RawData!"&amp;ADDRESS($C$5+$A13,Z$6))</f>
        <v>0.20918999999999999</v>
      </c>
      <c r="AA13" s="1" cm="1">
        <f t="array" aca="1" ref="AA13" ca="1">INDIRECT("RawData!"&amp;ADDRESS($C$5+$A13,AA$6))</f>
        <v>3.3079999999999998E-2</v>
      </c>
    </row>
    <row r="14" spans="1:29" x14ac:dyDescent="0.3">
      <c r="A14" s="1">
        <v>3</v>
      </c>
      <c r="C14" s="1" t="str" cm="1">
        <f t="array" aca="1" ref="C14" ca="1">INDIRECT("RawData!A"&amp;TEXT(C$5+A14,"0"))</f>
        <v>Test3/gfortran_w_lu2_o3.x</v>
      </c>
      <c r="D14" s="1" cm="1">
        <f t="array" aca="1" ref="D14" ca="1">INDIRECT("RawData!"&amp;ADDRESS($C$5+$A14,D$6))</f>
        <v>8.6020000000000003</v>
      </c>
      <c r="E14" s="1" cm="1">
        <f t="array" aca="1" ref="E14" ca="1">INDIRECT("RawData!"&amp;ADDRESS($C$5+$A14,E$6))</f>
        <v>0.36484</v>
      </c>
      <c r="F14" s="1" cm="1">
        <f t="array" aca="1" ref="F14" ca="1">INDIRECT("RawData!"&amp;ADDRESS($C$5+$A14,F$6))</f>
        <v>5.7689999999999998E-2</v>
      </c>
      <c r="G14" s="1" cm="1">
        <f t="array" aca="1" ref="G14" ca="1">INDIRECT("RawData!"&amp;ADDRESS($C$5+$A14,G$6))</f>
        <v>8.423</v>
      </c>
      <c r="H14" s="1" cm="1">
        <f t="array" aca="1" ref="H14" ca="1">INDIRECT("RawData!"&amp;ADDRESS($C$5+$A14,H$6))</f>
        <v>0.39169999999999999</v>
      </c>
      <c r="I14" s="1" cm="1">
        <f t="array" aca="1" ref="I14" ca="1">INDIRECT("RawData!"&amp;ADDRESS($C$5+$A14,I$6))</f>
        <v>6.1929999999999999E-2</v>
      </c>
      <c r="J14" s="1" cm="1">
        <f t="array" aca="1" ref="J14" ca="1">INDIRECT("RawData!"&amp;ADDRESS($C$5+$A14,J$6))</f>
        <v>5.46</v>
      </c>
      <c r="K14" s="1" cm="1">
        <f t="array" aca="1" ref="K14" ca="1">INDIRECT("RawData!"&amp;ADDRESS($C$5+$A14,K$6))</f>
        <v>8.8279999999999997E-2</v>
      </c>
      <c r="L14" s="1" cm="1">
        <f t="array" aca="1" ref="L14" ca="1">INDIRECT("RawData!"&amp;ADDRESS($C$5+$A14,L$6))</f>
        <v>1.396E-2</v>
      </c>
      <c r="M14" s="1" cm="1">
        <f t="array" aca="1" ref="M14" ca="1">INDIRECT("RawData!"&amp;ADDRESS($C$5+$A14,M$6))</f>
        <v>5.6</v>
      </c>
      <c r="N14" s="1" cm="1">
        <f t="array" aca="1" ref="N14" ca="1">INDIRECT("RawData!"&amp;ADDRESS($C$5+$A14,N$6))</f>
        <v>0.11248</v>
      </c>
      <c r="O14" s="1" cm="1">
        <f t="array" aca="1" ref="O14" ca="1">INDIRECT("RawData!"&amp;ADDRESS($C$5+$A14,O$6))</f>
        <v>1.779E-2</v>
      </c>
      <c r="P14" s="1" cm="1">
        <f t="array" aca="1" ref="P14" ca="1">INDIRECT("RawData!"&amp;ADDRESS($C$5+$A14,P$6))</f>
        <v>16.638000000000002</v>
      </c>
      <c r="Q14" s="1" cm="1">
        <f t="array" aca="1" ref="Q14" ca="1">INDIRECT("RawData!"&amp;ADDRESS($C$5+$A14,Q$6))</f>
        <v>1.13527</v>
      </c>
      <c r="R14" s="1" cm="1">
        <f t="array" aca="1" ref="R14" ca="1">INDIRECT("RawData!"&amp;ADDRESS($C$5+$A14,R$6))</f>
        <v>0.17949999999999999</v>
      </c>
      <c r="S14" s="1" cm="1">
        <f t="array" aca="1" ref="S14" ca="1">INDIRECT("RawData!"&amp;ADDRESS($C$5+$A14,S$6))</f>
        <v>15.162000000000001</v>
      </c>
      <c r="T14" s="1" cm="1">
        <f t="array" aca="1" ref="T14" ca="1">INDIRECT("RawData!"&amp;ADDRESS($C$5+$A14,T$6))</f>
        <v>1.24309</v>
      </c>
      <c r="U14" s="1" cm="1">
        <f t="array" aca="1" ref="U14" ca="1">INDIRECT("RawData!"&amp;ADDRESS($C$5+$A14,U$6))</f>
        <v>0.19655</v>
      </c>
      <c r="V14" s="1" cm="1">
        <f t="array" aca="1" ref="V14" ca="1">INDIRECT("RawData!"&amp;ADDRESS($C$5+$A14,V$6))</f>
        <v>8.5139999999999993</v>
      </c>
      <c r="W14" s="1" cm="1">
        <f t="array" aca="1" ref="W14" ca="1">INDIRECT("RawData!"&amp;ADDRESS($C$5+$A14,W$6))</f>
        <v>0.22639000000000001</v>
      </c>
      <c r="X14" s="1" cm="1">
        <f t="array" aca="1" ref="X14" ca="1">INDIRECT("RawData!"&amp;ADDRESS($C$5+$A14,X$6))</f>
        <v>3.5799999999999998E-2</v>
      </c>
      <c r="Y14" s="1" cm="1">
        <f t="array" aca="1" ref="Y14" ca="1">INDIRECT("RawData!"&amp;ADDRESS($C$5+$A14,Y$6))</f>
        <v>8.6880000000000006</v>
      </c>
      <c r="Z14" s="1" cm="1">
        <f t="array" aca="1" ref="Z14" ca="1">INDIRECT("RawData!"&amp;ADDRESS($C$5+$A14,Z$6))</f>
        <v>0.18074999999999999</v>
      </c>
      <c r="AA14" s="1" cm="1">
        <f t="array" aca="1" ref="AA14" ca="1">INDIRECT("RawData!"&amp;ADDRESS($C$5+$A14,AA$6))</f>
        <v>2.8580000000000001E-2</v>
      </c>
    </row>
    <row r="15" spans="1:29" x14ac:dyDescent="0.3">
      <c r="A15" s="1">
        <v>4</v>
      </c>
      <c r="C15" s="1" t="str" cm="1">
        <f t="array" aca="1" ref="C15" ca="1">INDIRECT("RawData!A"&amp;TEXT(C$5+A15,"0"))</f>
        <v>Test3/gfortran_w_lu4.x</v>
      </c>
      <c r="D15" s="1" cm="1">
        <f t="array" aca="1" ref="D15" ca="1">INDIRECT("RawData!"&amp;ADDRESS($C$5+$A15,D$6))</f>
        <v>8.4909999999999997</v>
      </c>
      <c r="E15" s="1" cm="1">
        <f t="array" aca="1" ref="E15" ca="1">INDIRECT("RawData!"&amp;ADDRESS($C$5+$A15,E$6))</f>
        <v>0.38007999999999997</v>
      </c>
      <c r="F15" s="1" cm="1">
        <f t="array" aca="1" ref="F15" ca="1">INDIRECT("RawData!"&amp;ADDRESS($C$5+$A15,F$6))</f>
        <v>6.0100000000000001E-2</v>
      </c>
      <c r="G15" s="1" cm="1">
        <f t="array" aca="1" ref="G15" ca="1">INDIRECT("RawData!"&amp;ADDRESS($C$5+$A15,G$6))</f>
        <v>8.468</v>
      </c>
      <c r="H15" s="1" cm="1">
        <f t="array" aca="1" ref="H15" ca="1">INDIRECT("RawData!"&amp;ADDRESS($C$5+$A15,H$6))</f>
        <v>0.39771000000000001</v>
      </c>
      <c r="I15" s="1" cm="1">
        <f t="array" aca="1" ref="I15" ca="1">INDIRECT("RawData!"&amp;ADDRESS($C$5+$A15,I$6))</f>
        <v>6.2880000000000005E-2</v>
      </c>
      <c r="J15" s="1" cm="1">
        <f t="array" aca="1" ref="J15" ca="1">INDIRECT("RawData!"&amp;ADDRESS($C$5+$A15,J$6))</f>
        <v>5.5039999999999996</v>
      </c>
      <c r="K15" s="1" cm="1">
        <f t="array" aca="1" ref="K15" ca="1">INDIRECT("RawData!"&amp;ADDRESS($C$5+$A15,K$6))</f>
        <v>0.11275</v>
      </c>
      <c r="L15" s="1" cm="1">
        <f t="array" aca="1" ref="L15" ca="1">INDIRECT("RawData!"&amp;ADDRESS($C$5+$A15,L$6))</f>
        <v>1.7829999999999999E-2</v>
      </c>
      <c r="M15" s="1" cm="1">
        <f t="array" aca="1" ref="M15" ca="1">INDIRECT("RawData!"&amp;ADDRESS($C$5+$A15,M$6))</f>
        <v>5.46</v>
      </c>
      <c r="N15" s="1" cm="1">
        <f t="array" aca="1" ref="N15" ca="1">INDIRECT("RawData!"&amp;ADDRESS($C$5+$A15,N$6))</f>
        <v>4.6199999999999998E-2</v>
      </c>
      <c r="O15" s="1" cm="1">
        <f t="array" aca="1" ref="O15" ca="1">INDIRECT("RawData!"&amp;ADDRESS($C$5+$A15,O$6))</f>
        <v>7.3000000000000001E-3</v>
      </c>
      <c r="P15" s="1" cm="1">
        <f t="array" aca="1" ref="P15" ca="1">INDIRECT("RawData!"&amp;ADDRESS($C$5+$A15,P$6))</f>
        <v>13.443</v>
      </c>
      <c r="Q15" s="1" cm="1">
        <f t="array" aca="1" ref="Q15" ca="1">INDIRECT("RawData!"&amp;ADDRESS($C$5+$A15,Q$6))</f>
        <v>1.1252599999999999</v>
      </c>
      <c r="R15" s="1" cm="1">
        <f t="array" aca="1" ref="R15" ca="1">INDIRECT("RawData!"&amp;ADDRESS($C$5+$A15,R$6))</f>
        <v>0.17791999999999999</v>
      </c>
      <c r="S15" s="1" cm="1">
        <f t="array" aca="1" ref="S15" ca="1">INDIRECT("RawData!"&amp;ADDRESS($C$5+$A15,S$6))</f>
        <v>11.683999999999999</v>
      </c>
      <c r="T15" s="1" cm="1">
        <f t="array" aca="1" ref="T15" ca="1">INDIRECT("RawData!"&amp;ADDRESS($C$5+$A15,T$6))</f>
        <v>0.59165999999999996</v>
      </c>
      <c r="U15" s="1" cm="1">
        <f t="array" aca="1" ref="U15" ca="1">INDIRECT("RawData!"&amp;ADDRESS($C$5+$A15,U$6))</f>
        <v>9.3549999999999994E-2</v>
      </c>
      <c r="V15" s="1" cm="1">
        <f t="array" aca="1" ref="V15" ca="1">INDIRECT("RawData!"&amp;ADDRESS($C$5+$A15,V$6))</f>
        <v>8.1929999999999996</v>
      </c>
      <c r="W15" s="1" cm="1">
        <f t="array" aca="1" ref="W15" ca="1">INDIRECT("RawData!"&amp;ADDRESS($C$5+$A15,W$6))</f>
        <v>0.31885999999999998</v>
      </c>
      <c r="X15" s="1" cm="1">
        <f t="array" aca="1" ref="X15" ca="1">INDIRECT("RawData!"&amp;ADDRESS($C$5+$A15,X$6))</f>
        <v>5.042E-2</v>
      </c>
      <c r="Y15" s="1" cm="1">
        <f t="array" aca="1" ref="Y15" ca="1">INDIRECT("RawData!"&amp;ADDRESS($C$5+$A15,Y$6))</f>
        <v>8.6769999999999996</v>
      </c>
      <c r="Z15" s="1" cm="1">
        <f t="array" aca="1" ref="Z15" ca="1">INDIRECT("RawData!"&amp;ADDRESS($C$5+$A15,Z$6))</f>
        <v>0.30829000000000001</v>
      </c>
      <c r="AA15" s="1" cm="1">
        <f t="array" aca="1" ref="AA15" ca="1">INDIRECT("RawData!"&amp;ADDRESS($C$5+$A15,AA$6))</f>
        <v>4.8739999999999999E-2</v>
      </c>
    </row>
    <row r="16" spans="1:29" x14ac:dyDescent="0.3">
      <c r="A16" s="1">
        <v>5</v>
      </c>
      <c r="C16" s="1" t="str" cm="1">
        <f t="array" aca="1" ref="C16" ca="1">INDIRECT("RawData!A"&amp;TEXT(C$5+A16,"0"))</f>
        <v>Test3/gfortran_w_lu8.x</v>
      </c>
      <c r="D16" s="1" cm="1">
        <f t="array" aca="1" ref="D16" ca="1">INDIRECT("RawData!"&amp;ADDRESS($C$5+$A16,D$6))</f>
        <v>8.4960000000000004</v>
      </c>
      <c r="E16" s="1" cm="1">
        <f t="array" aca="1" ref="E16" ca="1">INDIRECT("RawData!"&amp;ADDRESS($C$5+$A16,E$6))</f>
        <v>0.42743999999999999</v>
      </c>
      <c r="F16" s="1" cm="1">
        <f t="array" aca="1" ref="F16" ca="1">INDIRECT("RawData!"&amp;ADDRESS($C$5+$A16,F$6))</f>
        <v>6.7580000000000001E-2</v>
      </c>
      <c r="G16" s="1" cm="1">
        <f t="array" aca="1" ref="G16" ca="1">INDIRECT("RawData!"&amp;ADDRESS($C$5+$A16,G$6))</f>
        <v>8.4789999999999992</v>
      </c>
      <c r="H16" s="1" cm="1">
        <f t="array" aca="1" ref="H16" ca="1">INDIRECT("RawData!"&amp;ADDRESS($C$5+$A16,H$6))</f>
        <v>0.51953000000000005</v>
      </c>
      <c r="I16" s="1" cm="1">
        <f t="array" aca="1" ref="I16" ca="1">INDIRECT("RawData!"&amp;ADDRESS($C$5+$A16,I$6))</f>
        <v>8.2140000000000005E-2</v>
      </c>
      <c r="J16" s="1" cm="1">
        <f t="array" aca="1" ref="J16" ca="1">INDIRECT("RawData!"&amp;ADDRESS($C$5+$A16,J$6))</f>
        <v>5.4480000000000004</v>
      </c>
      <c r="K16" s="1" cm="1">
        <f t="array" aca="1" ref="K16" ca="1">INDIRECT("RawData!"&amp;ADDRESS($C$5+$A16,K$6))</f>
        <v>4.8770000000000001E-2</v>
      </c>
      <c r="L16" s="1" cm="1">
        <f t="array" aca="1" ref="L16" ca="1">INDIRECT("RawData!"&amp;ADDRESS($C$5+$A16,L$6))</f>
        <v>7.7099999999999998E-3</v>
      </c>
      <c r="M16" s="1" cm="1">
        <f t="array" aca="1" ref="M16" ca="1">INDIRECT("RawData!"&amp;ADDRESS($C$5+$A16,M$6))</f>
        <v>5.5869999999999997</v>
      </c>
      <c r="N16" s="1" cm="1">
        <f t="array" aca="1" ref="N16" ca="1">INDIRECT("RawData!"&amp;ADDRESS($C$5+$A16,N$6))</f>
        <v>0.10764</v>
      </c>
      <c r="O16" s="1" cm="1">
        <f t="array" aca="1" ref="O16" ca="1">INDIRECT("RawData!"&amp;ADDRESS($C$5+$A16,O$6))</f>
        <v>1.702E-2</v>
      </c>
      <c r="P16" s="1" cm="1">
        <f t="array" aca="1" ref="P16" ca="1">INDIRECT("RawData!"&amp;ADDRESS($C$5+$A16,P$6))</f>
        <v>13.507</v>
      </c>
      <c r="Q16" s="1" cm="1">
        <f t="array" aca="1" ref="Q16" ca="1">INDIRECT("RawData!"&amp;ADDRESS($C$5+$A16,Q$6))</f>
        <v>1.18127</v>
      </c>
      <c r="R16" s="1" cm="1">
        <f t="array" aca="1" ref="R16" ca="1">INDIRECT("RawData!"&amp;ADDRESS($C$5+$A16,R$6))</f>
        <v>0.18678</v>
      </c>
      <c r="S16" s="1" cm="1">
        <f t="array" aca="1" ref="S16" ca="1">INDIRECT("RawData!"&amp;ADDRESS($C$5+$A16,S$6))</f>
        <v>12.634</v>
      </c>
      <c r="T16" s="1" cm="1">
        <f t="array" aca="1" ref="T16" ca="1">INDIRECT("RawData!"&amp;ADDRESS($C$5+$A16,T$6))</f>
        <v>0.85558999999999996</v>
      </c>
      <c r="U16" s="1" cm="1">
        <f t="array" aca="1" ref="U16" ca="1">INDIRECT("RawData!"&amp;ADDRESS($C$5+$A16,U$6))</f>
        <v>0.13528000000000001</v>
      </c>
      <c r="V16" s="1" cm="1">
        <f t="array" aca="1" ref="V16" ca="1">INDIRECT("RawData!"&amp;ADDRESS($C$5+$A16,V$6))</f>
        <v>8.2959999999999994</v>
      </c>
      <c r="W16" s="1" cm="1">
        <f t="array" aca="1" ref="W16" ca="1">INDIRECT("RawData!"&amp;ADDRESS($C$5+$A16,W$6))</f>
        <v>0.18625</v>
      </c>
      <c r="X16" s="1" cm="1">
        <f t="array" aca="1" ref="X16" ca="1">INDIRECT("RawData!"&amp;ADDRESS($C$5+$A16,X$6))</f>
        <v>2.945E-2</v>
      </c>
      <c r="Y16" s="1" cm="1">
        <f t="array" aca="1" ref="Y16" ca="1">INDIRECT("RawData!"&amp;ADDRESS($C$5+$A16,Y$6))</f>
        <v>8.5640000000000001</v>
      </c>
      <c r="Z16" s="1" cm="1">
        <f t="array" aca="1" ref="Z16" ca="1">INDIRECT("RawData!"&amp;ADDRESS($C$5+$A16,Z$6))</f>
        <v>0.19989000000000001</v>
      </c>
      <c r="AA16" s="1" cm="1">
        <f t="array" aca="1" ref="AA16" ca="1">INDIRECT("RawData!"&amp;ADDRESS($C$5+$A16,AA$6))</f>
        <v>3.1600000000000003E-2</v>
      </c>
    </row>
    <row r="17" spans="1:27" x14ac:dyDescent="0.3">
      <c r="A17" s="1">
        <v>6</v>
      </c>
      <c r="C17" s="1" t="str" cm="1">
        <f t="array" aca="1" ref="C17" ca="1">INDIRECT("RawData!A"&amp;TEXT(C$5+A17,"0"))</f>
        <v>Test3/ifx.x</v>
      </c>
      <c r="D17" s="1" cm="1">
        <f t="array" aca="1" ref="D17" ca="1">INDIRECT("RawData!"&amp;ADDRESS($C$5+$A17,D$6))</f>
        <v>7.1</v>
      </c>
      <c r="E17" s="1" cm="1">
        <f t="array" aca="1" ref="E17" ca="1">INDIRECT("RawData!"&amp;ADDRESS($C$5+$A17,E$6))</f>
        <v>0.87119000000000002</v>
      </c>
      <c r="F17" s="1" cm="1">
        <f t="array" aca="1" ref="F17" ca="1">INDIRECT("RawData!"&amp;ADDRESS($C$5+$A17,F$6))</f>
        <v>0.13775000000000001</v>
      </c>
      <c r="G17" s="1" cm="1">
        <f t="array" aca="1" ref="G17" ca="1">INDIRECT("RawData!"&amp;ADDRESS($C$5+$A17,G$6))</f>
        <v>8.125</v>
      </c>
      <c r="H17" s="1" cm="1">
        <f t="array" aca="1" ref="H17" ca="1">INDIRECT("RawData!"&amp;ADDRESS($C$5+$A17,H$6))</f>
        <v>2.5539100000000001</v>
      </c>
      <c r="I17" s="1" cm="1">
        <f t="array" aca="1" ref="I17" ca="1">INDIRECT("RawData!"&amp;ADDRESS($C$5+$A17,I$6))</f>
        <v>0.40381</v>
      </c>
      <c r="J17" s="1" cm="1">
        <f t="array" aca="1" ref="J17" ca="1">INDIRECT("RawData!"&amp;ADDRESS($C$5+$A17,J$6))</f>
        <v>3.6749999999999998</v>
      </c>
      <c r="K17" s="1" cm="1">
        <f t="array" aca="1" ref="K17" ca="1">INDIRECT("RawData!"&amp;ADDRESS($C$5+$A17,K$6))</f>
        <v>0.14433000000000001</v>
      </c>
      <c r="L17" s="1" cm="1">
        <f t="array" aca="1" ref="L17" ca="1">INDIRECT("RawData!"&amp;ADDRESS($C$5+$A17,L$6))</f>
        <v>2.282E-2</v>
      </c>
      <c r="M17" s="1" cm="1">
        <f t="array" aca="1" ref="M17" ca="1">INDIRECT("RawData!"&amp;ADDRESS($C$5+$A17,M$6))</f>
        <v>3.4660000000000002</v>
      </c>
      <c r="N17" s="1" cm="1">
        <f t="array" aca="1" ref="N17" ca="1">INDIRECT("RawData!"&amp;ADDRESS($C$5+$A17,N$6))</f>
        <v>0.17612</v>
      </c>
      <c r="O17" s="1" cm="1">
        <f t="array" aca="1" ref="O17" ca="1">INDIRECT("RawData!"&amp;ADDRESS($C$5+$A17,O$6))</f>
        <v>2.785E-2</v>
      </c>
      <c r="P17" s="1" cm="1">
        <f t="array" aca="1" ref="P17" ca="1">INDIRECT("RawData!"&amp;ADDRESS($C$5+$A17,P$6))</f>
        <v>0</v>
      </c>
      <c r="Q17" s="1" cm="1">
        <f t="array" aca="1" ref="Q17" ca="1">INDIRECT("RawData!"&amp;ADDRESS($C$5+$A17,Q$6))</f>
        <v>0</v>
      </c>
      <c r="R17" s="1" cm="1">
        <f t="array" aca="1" ref="R17" ca="1">INDIRECT("RawData!"&amp;ADDRESS($C$5+$A17,R$6))</f>
        <v>0</v>
      </c>
      <c r="S17" s="1" cm="1">
        <f t="array" aca="1" ref="S17" ca="1">INDIRECT("RawData!"&amp;ADDRESS($C$5+$A17,S$6))</f>
        <v>0</v>
      </c>
      <c r="T17" s="1" cm="1">
        <f t="array" aca="1" ref="T17" ca="1">INDIRECT("RawData!"&amp;ADDRESS($C$5+$A17,T$6))</f>
        <v>0</v>
      </c>
      <c r="U17" s="1" cm="1">
        <f t="array" aca="1" ref="U17" ca="1">INDIRECT("RawData!"&amp;ADDRESS($C$5+$A17,U$6))</f>
        <v>0</v>
      </c>
      <c r="V17" s="1" cm="1">
        <f t="array" aca="1" ref="V17" ca="1">INDIRECT("RawData!"&amp;ADDRESS($C$5+$A17,V$6))</f>
        <v>7.9619999999999997</v>
      </c>
      <c r="W17" s="1" cm="1">
        <f t="array" aca="1" ref="W17" ca="1">INDIRECT("RawData!"&amp;ADDRESS($C$5+$A17,W$6))</f>
        <v>0.30064000000000002</v>
      </c>
      <c r="X17" s="1" cm="1">
        <f t="array" aca="1" ref="X17" ca="1">INDIRECT("RawData!"&amp;ADDRESS($C$5+$A17,X$6))</f>
        <v>4.7530000000000003E-2</v>
      </c>
      <c r="Y17" s="1" cm="1">
        <f t="array" aca="1" ref="Y17" ca="1">INDIRECT("RawData!"&amp;ADDRESS($C$5+$A17,Y$6))</f>
        <v>6.8849999999999998</v>
      </c>
      <c r="Z17" s="1" cm="1">
        <f t="array" aca="1" ref="Z17" ca="1">INDIRECT("RawData!"&amp;ADDRESS($C$5+$A17,Z$6))</f>
        <v>0.17255000000000001</v>
      </c>
      <c r="AA17" s="1" cm="1">
        <f t="array" aca="1" ref="AA17" ca="1">INDIRECT("RawData!"&amp;ADDRESS($C$5+$A17,AA$6))</f>
        <v>2.7279999999999999E-2</v>
      </c>
    </row>
    <row r="18" spans="1:27" x14ac:dyDescent="0.3">
      <c r="A18" s="1">
        <v>7</v>
      </c>
      <c r="C18" s="1" t="str" cm="1">
        <f t="array" aca="1" ref="C18" ca="1">INDIRECT("RawData!A"&amp;TEXT(C$5+A18,"0"))</f>
        <v>Test3/ifx_o3.x</v>
      </c>
      <c r="D18" s="1" cm="1">
        <f t="array" aca="1" ref="D18" ca="1">INDIRECT("RawData!"&amp;ADDRESS($C$5+$A18,D$6))</f>
        <v>7.9</v>
      </c>
      <c r="E18" s="1" cm="1">
        <f t="array" aca="1" ref="E18" ca="1">INDIRECT("RawData!"&amp;ADDRESS($C$5+$A18,E$6))</f>
        <v>1.15025</v>
      </c>
      <c r="F18" s="1" cm="1">
        <f t="array" aca="1" ref="F18" ca="1">INDIRECT("RawData!"&amp;ADDRESS($C$5+$A18,F$6))</f>
        <v>0.18187</v>
      </c>
      <c r="G18" s="1" cm="1">
        <f t="array" aca="1" ref="G18" ca="1">INDIRECT("RawData!"&amp;ADDRESS($C$5+$A18,G$6))</f>
        <v>7.75</v>
      </c>
      <c r="H18" s="1" cm="1">
        <f t="array" aca="1" ref="H18" ca="1">INDIRECT("RawData!"&amp;ADDRESS($C$5+$A18,H$6))</f>
        <v>2.09701</v>
      </c>
      <c r="I18" s="1" cm="1">
        <f t="array" aca="1" ref="I18" ca="1">INDIRECT("RawData!"&amp;ADDRESS($C$5+$A18,I$6))</f>
        <v>0.33156999999999998</v>
      </c>
      <c r="J18" s="1" cm="1">
        <f t="array" aca="1" ref="J18" ca="1">INDIRECT("RawData!"&amp;ADDRESS($C$5+$A18,J$6))</f>
        <v>5.4930000000000003</v>
      </c>
      <c r="K18" s="1" cm="1">
        <f t="array" aca="1" ref="K18" ca="1">INDIRECT("RawData!"&amp;ADDRESS($C$5+$A18,K$6))</f>
        <v>9.8409999999999997E-2</v>
      </c>
      <c r="L18" s="1" cm="1">
        <f t="array" aca="1" ref="L18" ca="1">INDIRECT("RawData!"&amp;ADDRESS($C$5+$A18,L$6))</f>
        <v>1.5559999999999999E-2</v>
      </c>
      <c r="M18" s="1" cm="1">
        <f t="array" aca="1" ref="M18" ca="1">INDIRECT("RawData!"&amp;ADDRESS($C$5+$A18,M$6))</f>
        <v>3.5209999999999999</v>
      </c>
      <c r="N18" s="1" cm="1">
        <f t="array" aca="1" ref="N18" ca="1">INDIRECT("RawData!"&amp;ADDRESS($C$5+$A18,N$6))</f>
        <v>0.17552000000000001</v>
      </c>
      <c r="O18" s="1" cm="1">
        <f t="array" aca="1" ref="O18" ca="1">INDIRECT("RawData!"&amp;ADDRESS($C$5+$A18,O$6))</f>
        <v>2.775E-2</v>
      </c>
      <c r="P18" s="1" cm="1">
        <f t="array" aca="1" ref="P18" ca="1">INDIRECT("RawData!"&amp;ADDRESS($C$5+$A18,P$6))</f>
        <v>0</v>
      </c>
      <c r="Q18" s="1" cm="1">
        <f t="array" aca="1" ref="Q18" ca="1">INDIRECT("RawData!"&amp;ADDRESS($C$5+$A18,Q$6))</f>
        <v>0</v>
      </c>
      <c r="R18" s="1" cm="1">
        <f t="array" aca="1" ref="R18" ca="1">INDIRECT("RawData!"&amp;ADDRESS($C$5+$A18,R$6))</f>
        <v>0</v>
      </c>
      <c r="S18" s="1" cm="1">
        <f t="array" aca="1" ref="S18" ca="1">INDIRECT("RawData!"&amp;ADDRESS($C$5+$A18,S$6))</f>
        <v>0</v>
      </c>
      <c r="T18" s="1" cm="1">
        <f t="array" aca="1" ref="T18" ca="1">INDIRECT("RawData!"&amp;ADDRESS($C$5+$A18,T$6))</f>
        <v>0</v>
      </c>
      <c r="U18" s="1" cm="1">
        <f t="array" aca="1" ref="U18" ca="1">INDIRECT("RawData!"&amp;ADDRESS($C$5+$A18,U$6))</f>
        <v>0</v>
      </c>
      <c r="V18" s="1" cm="1">
        <f t="array" aca="1" ref="V18" ca="1">INDIRECT("RawData!"&amp;ADDRESS($C$5+$A18,V$6))</f>
        <v>8.6069999999999993</v>
      </c>
      <c r="W18" s="1" cm="1">
        <f t="array" aca="1" ref="W18" ca="1">INDIRECT("RawData!"&amp;ADDRESS($C$5+$A18,W$6))</f>
        <v>0.19608</v>
      </c>
      <c r="X18" s="1" cm="1">
        <f t="array" aca="1" ref="X18" ca="1">INDIRECT("RawData!"&amp;ADDRESS($C$5+$A18,X$6))</f>
        <v>3.1E-2</v>
      </c>
      <c r="Y18" s="1" cm="1">
        <f t="array" aca="1" ref="Y18" ca="1">INDIRECT("RawData!"&amp;ADDRESS($C$5+$A18,Y$6))</f>
        <v>6.83</v>
      </c>
      <c r="Z18" s="1" cm="1">
        <f t="array" aca="1" ref="Z18" ca="1">INDIRECT("RawData!"&amp;ADDRESS($C$5+$A18,Z$6))</f>
        <v>0.14068</v>
      </c>
      <c r="AA18" s="1" cm="1">
        <f t="array" aca="1" ref="AA18" ca="1">INDIRECT("RawData!"&amp;ADDRESS($C$5+$A18,AA$6))</f>
        <v>2.2239999999999999E-2</v>
      </c>
    </row>
    <row r="19" spans="1:27" x14ac:dyDescent="0.3">
      <c r="A19" s="1">
        <v>8</v>
      </c>
      <c r="C19" s="1" t="str" cm="1">
        <f t="array" aca="1" ref="C19" ca="1">INDIRECT("RawData!A"&amp;TEXT(C$5+A19,"0"))</f>
        <v>Test3/ifx_w_lu2.x</v>
      </c>
      <c r="D19" s="1" cm="1">
        <f t="array" aca="1" ref="D19" ca="1">INDIRECT("RawData!"&amp;ADDRESS($C$5+$A19,D$6))</f>
        <v>7.2249999999999996</v>
      </c>
      <c r="E19" s="1" cm="1">
        <f t="array" aca="1" ref="E19" ca="1">INDIRECT("RawData!"&amp;ADDRESS($C$5+$A19,E$6))</f>
        <v>1.40489</v>
      </c>
      <c r="F19" s="1" cm="1">
        <f t="array" aca="1" ref="F19" ca="1">INDIRECT("RawData!"&amp;ADDRESS($C$5+$A19,F$6))</f>
        <v>0.22212999999999999</v>
      </c>
      <c r="G19" s="1" cm="1">
        <f t="array" aca="1" ref="G19" ca="1">INDIRECT("RawData!"&amp;ADDRESS($C$5+$A19,G$6))</f>
        <v>7.2</v>
      </c>
      <c r="H19" s="1" cm="1">
        <f t="array" aca="1" ref="H19" ca="1">INDIRECT("RawData!"&amp;ADDRESS($C$5+$A19,H$6))</f>
        <v>0.79096999999999995</v>
      </c>
      <c r="I19" s="1" cm="1">
        <f t="array" aca="1" ref="I19" ca="1">INDIRECT("RawData!"&amp;ADDRESS($C$5+$A19,I$6))</f>
        <v>0.12506</v>
      </c>
      <c r="J19" s="1" cm="1">
        <f t="array" aca="1" ref="J19" ca="1">INDIRECT("RawData!"&amp;ADDRESS($C$5+$A19,J$6))</f>
        <v>3.7</v>
      </c>
      <c r="K19" s="1" cm="1">
        <f t="array" aca="1" ref="K19" ca="1">INDIRECT("RawData!"&amp;ADDRESS($C$5+$A19,K$6))</f>
        <v>0.12046999999999999</v>
      </c>
      <c r="L19" s="1" cm="1">
        <f t="array" aca="1" ref="L19" ca="1">INDIRECT("RawData!"&amp;ADDRESS($C$5+$A19,L$6))</f>
        <v>1.9050000000000001E-2</v>
      </c>
      <c r="M19" s="1" cm="1">
        <f t="array" aca="1" ref="M19" ca="1">INDIRECT("RawData!"&amp;ADDRESS($C$5+$A19,M$6))</f>
        <v>3.456</v>
      </c>
      <c r="N19" s="1" cm="1">
        <f t="array" aca="1" ref="N19" ca="1">INDIRECT("RawData!"&amp;ADDRESS($C$5+$A19,N$6))</f>
        <v>8.0399999999999999E-2</v>
      </c>
      <c r="O19" s="1" cm="1">
        <f t="array" aca="1" ref="O19" ca="1">INDIRECT("RawData!"&amp;ADDRESS($C$5+$A19,O$6))</f>
        <v>1.2710000000000001E-2</v>
      </c>
      <c r="P19" s="1" cm="1">
        <f t="array" aca="1" ref="P19" ca="1">INDIRECT("RawData!"&amp;ADDRESS($C$5+$A19,P$6))</f>
        <v>0</v>
      </c>
      <c r="Q19" s="1" cm="1">
        <f t="array" aca="1" ref="Q19" ca="1">INDIRECT("RawData!"&amp;ADDRESS($C$5+$A19,Q$6))</f>
        <v>0</v>
      </c>
      <c r="R19" s="1" cm="1">
        <f t="array" aca="1" ref="R19" ca="1">INDIRECT("RawData!"&amp;ADDRESS($C$5+$A19,R$6))</f>
        <v>0</v>
      </c>
      <c r="S19" s="1" cm="1">
        <f t="array" aca="1" ref="S19" ca="1">INDIRECT("RawData!"&amp;ADDRESS($C$5+$A19,S$6))</f>
        <v>0</v>
      </c>
      <c r="T19" s="1" cm="1">
        <f t="array" aca="1" ref="T19" ca="1">INDIRECT("RawData!"&amp;ADDRESS($C$5+$A19,T$6))</f>
        <v>0</v>
      </c>
      <c r="U19" s="1" cm="1">
        <f t="array" aca="1" ref="U19" ca="1">INDIRECT("RawData!"&amp;ADDRESS($C$5+$A19,U$6))</f>
        <v>0</v>
      </c>
      <c r="V19" s="1" cm="1">
        <f t="array" aca="1" ref="V19" ca="1">INDIRECT("RawData!"&amp;ADDRESS($C$5+$A19,V$6))</f>
        <v>7.7869999999999999</v>
      </c>
      <c r="W19" s="1" cm="1">
        <f t="array" aca="1" ref="W19" ca="1">INDIRECT("RawData!"&amp;ADDRESS($C$5+$A19,W$6))</f>
        <v>0.32368000000000002</v>
      </c>
      <c r="X19" s="1" cm="1">
        <f t="array" aca="1" ref="X19" ca="1">INDIRECT("RawData!"&amp;ADDRESS($C$5+$A19,X$6))</f>
        <v>5.1180000000000003E-2</v>
      </c>
      <c r="Y19" s="1" cm="1">
        <f t="array" aca="1" ref="Y19" ca="1">INDIRECT("RawData!"&amp;ADDRESS($C$5+$A19,Y$6))</f>
        <v>6.875</v>
      </c>
      <c r="Z19" s="1" cm="1">
        <f t="array" aca="1" ref="Z19" ca="1">INDIRECT("RawData!"&amp;ADDRESS($C$5+$A19,Z$6))</f>
        <v>0.15719</v>
      </c>
      <c r="AA19" s="1" cm="1">
        <f t="array" aca="1" ref="AA19" ca="1">INDIRECT("RawData!"&amp;ADDRESS($C$5+$A19,AA$6))</f>
        <v>2.4850000000000001E-2</v>
      </c>
    </row>
    <row r="20" spans="1:27" x14ac:dyDescent="0.3">
      <c r="A20" s="1">
        <v>9</v>
      </c>
      <c r="C20" s="1" t="str" cm="1">
        <f t="array" aca="1" ref="C20" ca="1">INDIRECT("RawData!A"&amp;TEXT(C$5+A20,"0"))</f>
        <v>Test3/ifx_w_lu2_o3.x</v>
      </c>
      <c r="D20" s="1" cm="1">
        <f t="array" aca="1" ref="D20" ca="1">INDIRECT("RawData!"&amp;ADDRESS($C$5+$A20,D$6))</f>
        <v>7.6</v>
      </c>
      <c r="E20" s="1" cm="1">
        <f t="array" aca="1" ref="E20" ca="1">INDIRECT("RawData!"&amp;ADDRESS($C$5+$A20,E$6))</f>
        <v>0.81018999999999997</v>
      </c>
      <c r="F20" s="1" cm="1">
        <f t="array" aca="1" ref="F20" ca="1">INDIRECT("RawData!"&amp;ADDRESS($C$5+$A20,F$6))</f>
        <v>0.12809999999999999</v>
      </c>
      <c r="G20" s="1" cm="1">
        <f t="array" aca="1" ref="G20" ca="1">INDIRECT("RawData!"&amp;ADDRESS($C$5+$A20,G$6))</f>
        <v>7.15</v>
      </c>
      <c r="H20" s="1" cm="1">
        <f t="array" aca="1" ref="H20" ca="1">INDIRECT("RawData!"&amp;ADDRESS($C$5+$A20,H$6))</f>
        <v>1.2310099999999999</v>
      </c>
      <c r="I20" s="1" cm="1">
        <f t="array" aca="1" ref="I20" ca="1">INDIRECT("RawData!"&amp;ADDRESS($C$5+$A20,I$6))</f>
        <v>0.19464000000000001</v>
      </c>
      <c r="J20" s="1" cm="1">
        <f t="array" aca="1" ref="J20" ca="1">INDIRECT("RawData!"&amp;ADDRESS($C$5+$A20,J$6))</f>
        <v>5.4859999999999998</v>
      </c>
      <c r="K20" s="1" cm="1">
        <f t="array" aca="1" ref="K20" ca="1">INDIRECT("RawData!"&amp;ADDRESS($C$5+$A20,K$6))</f>
        <v>9.2979999999999993E-2</v>
      </c>
      <c r="L20" s="1" cm="1">
        <f t="array" aca="1" ref="L20" ca="1">INDIRECT("RawData!"&amp;ADDRESS($C$5+$A20,L$6))</f>
        <v>1.47E-2</v>
      </c>
      <c r="M20" s="1" cm="1">
        <f t="array" aca="1" ref="M20" ca="1">INDIRECT("RawData!"&amp;ADDRESS($C$5+$A20,M$6))</f>
        <v>3.4689999999999999</v>
      </c>
      <c r="N20" s="1" cm="1">
        <f t="array" aca="1" ref="N20" ca="1">INDIRECT("RawData!"&amp;ADDRESS($C$5+$A20,N$6))</f>
        <v>0.16583999999999999</v>
      </c>
      <c r="O20" s="1" cm="1">
        <f t="array" aca="1" ref="O20" ca="1">INDIRECT("RawData!"&amp;ADDRESS($C$5+$A20,O$6))</f>
        <v>2.622E-2</v>
      </c>
      <c r="P20" s="1" cm="1">
        <f t="array" aca="1" ref="P20" ca="1">INDIRECT("RawData!"&amp;ADDRESS($C$5+$A20,P$6))</f>
        <v>0</v>
      </c>
      <c r="Q20" s="1" cm="1">
        <f t="array" aca="1" ref="Q20" ca="1">INDIRECT("RawData!"&amp;ADDRESS($C$5+$A20,Q$6))</f>
        <v>0</v>
      </c>
      <c r="R20" s="1" cm="1">
        <f t="array" aca="1" ref="R20" ca="1">INDIRECT("RawData!"&amp;ADDRESS($C$5+$A20,R$6))</f>
        <v>0</v>
      </c>
      <c r="S20" s="1" cm="1">
        <f t="array" aca="1" ref="S20" ca="1">INDIRECT("RawData!"&amp;ADDRESS($C$5+$A20,S$6))</f>
        <v>0</v>
      </c>
      <c r="T20" s="1" cm="1">
        <f t="array" aca="1" ref="T20" ca="1">INDIRECT("RawData!"&amp;ADDRESS($C$5+$A20,T$6))</f>
        <v>0</v>
      </c>
      <c r="U20" s="1" cm="1">
        <f t="array" aca="1" ref="U20" ca="1">INDIRECT("RawData!"&amp;ADDRESS($C$5+$A20,U$6))</f>
        <v>0</v>
      </c>
      <c r="V20" s="1" cm="1">
        <f t="array" aca="1" ref="V20" ca="1">INDIRECT("RawData!"&amp;ADDRESS($C$5+$A20,V$6))</f>
        <v>8.5139999999999993</v>
      </c>
      <c r="W20" s="1" cm="1">
        <f t="array" aca="1" ref="W20" ca="1">INDIRECT("RawData!"&amp;ADDRESS($C$5+$A20,W$6))</f>
        <v>0.27056000000000002</v>
      </c>
      <c r="X20" s="1" cm="1">
        <f t="array" aca="1" ref="X20" ca="1">INDIRECT("RawData!"&amp;ADDRESS($C$5+$A20,X$6))</f>
        <v>4.2779999999999999E-2</v>
      </c>
      <c r="Y20" s="1" cm="1">
        <f t="array" aca="1" ref="Y20" ca="1">INDIRECT("RawData!"&amp;ADDRESS($C$5+$A20,Y$6))</f>
        <v>6.875</v>
      </c>
      <c r="Z20" s="1" cm="1">
        <f t="array" aca="1" ref="Z20" ca="1">INDIRECT("RawData!"&amp;ADDRESS($C$5+$A20,Z$6))</f>
        <v>0.14324000000000001</v>
      </c>
      <c r="AA20" s="1" cm="1">
        <f t="array" aca="1" ref="AA20" ca="1">INDIRECT("RawData!"&amp;ADDRESS($C$5+$A20,AA$6))</f>
        <v>2.265E-2</v>
      </c>
    </row>
    <row r="21" spans="1:27" x14ac:dyDescent="0.3">
      <c r="A21" s="1">
        <v>10</v>
      </c>
      <c r="C21" s="1" t="str" cm="1">
        <f t="array" aca="1" ref="C21" ca="1">INDIRECT("RawData!A"&amp;TEXT(C$5+A21,"0"))</f>
        <v>Test3/ifx_w_lu4.x</v>
      </c>
      <c r="D21" s="1" cm="1">
        <f t="array" aca="1" ref="D21" ca="1">INDIRECT("RawData!"&amp;ADDRESS($C$5+$A21,D$6))</f>
        <v>7.15</v>
      </c>
      <c r="E21" s="1" cm="1">
        <f t="array" aca="1" ref="E21" ca="1">INDIRECT("RawData!"&amp;ADDRESS($C$5+$A21,E$6))</f>
        <v>0.76961999999999997</v>
      </c>
      <c r="F21" s="1" cm="1">
        <f t="array" aca="1" ref="F21" ca="1">INDIRECT("RawData!"&amp;ADDRESS($C$5+$A21,F$6))</f>
        <v>0.12169000000000001</v>
      </c>
      <c r="G21" s="1" cm="1">
        <f t="array" aca="1" ref="G21" ca="1">INDIRECT("RawData!"&amp;ADDRESS($C$5+$A21,G$6))</f>
        <v>8.9499999999999993</v>
      </c>
      <c r="H21" s="1" cm="1">
        <f t="array" aca="1" ref="H21" ca="1">INDIRECT("RawData!"&amp;ADDRESS($C$5+$A21,H$6))</f>
        <v>3.1128399999999998</v>
      </c>
      <c r="I21" s="1" cm="1">
        <f t="array" aca="1" ref="I21" ca="1">INDIRECT("RawData!"&amp;ADDRESS($C$5+$A21,I$6))</f>
        <v>0.49218000000000001</v>
      </c>
      <c r="J21" s="1" cm="1">
        <f t="array" aca="1" ref="J21" ca="1">INDIRECT("RawData!"&amp;ADDRESS($C$5+$A21,J$6))</f>
        <v>3.677</v>
      </c>
      <c r="K21" s="1" cm="1">
        <f t="array" aca="1" ref="K21" ca="1">INDIRECT("RawData!"&amp;ADDRESS($C$5+$A21,K$6))</f>
        <v>0.11275</v>
      </c>
      <c r="L21" s="1" cm="1">
        <f t="array" aca="1" ref="L21" ca="1">INDIRECT("RawData!"&amp;ADDRESS($C$5+$A21,L$6))</f>
        <v>1.7829999999999999E-2</v>
      </c>
      <c r="M21" s="1" cm="1">
        <f t="array" aca="1" ref="M21" ca="1">INDIRECT("RawData!"&amp;ADDRESS($C$5+$A21,M$6))</f>
        <v>3.4529999999999998</v>
      </c>
      <c r="N21" s="1" cm="1">
        <f t="array" aca="1" ref="N21" ca="1">INDIRECT("RawData!"&amp;ADDRESS($C$5+$A21,N$6))</f>
        <v>0.19450999999999999</v>
      </c>
      <c r="O21" s="1" cm="1">
        <f t="array" aca="1" ref="O21" ca="1">INDIRECT("RawData!"&amp;ADDRESS($C$5+$A21,O$6))</f>
        <v>3.0759999999999999E-2</v>
      </c>
      <c r="P21" s="1" cm="1">
        <f t="array" aca="1" ref="P21" ca="1">INDIRECT("RawData!"&amp;ADDRESS($C$5+$A21,P$6))</f>
        <v>0</v>
      </c>
      <c r="Q21" s="1" cm="1">
        <f t="array" aca="1" ref="Q21" ca="1">INDIRECT("RawData!"&amp;ADDRESS($C$5+$A21,Q$6))</f>
        <v>0</v>
      </c>
      <c r="R21" s="1" cm="1">
        <f t="array" aca="1" ref="R21" ca="1">INDIRECT("RawData!"&amp;ADDRESS($C$5+$A21,R$6))</f>
        <v>0</v>
      </c>
      <c r="S21" s="1" cm="1">
        <f t="array" aca="1" ref="S21" ca="1">INDIRECT("RawData!"&amp;ADDRESS($C$5+$A21,S$6))</f>
        <v>0</v>
      </c>
      <c r="T21" s="1" cm="1">
        <f t="array" aca="1" ref="T21" ca="1">INDIRECT("RawData!"&amp;ADDRESS($C$5+$A21,T$6))</f>
        <v>0</v>
      </c>
      <c r="U21" s="1" cm="1">
        <f t="array" aca="1" ref="U21" ca="1">INDIRECT("RawData!"&amp;ADDRESS($C$5+$A21,U$6))</f>
        <v>0</v>
      </c>
      <c r="V21" s="1" cm="1">
        <f t="array" aca="1" ref="V21" ca="1">INDIRECT("RawData!"&amp;ADDRESS($C$5+$A21,V$6))</f>
        <v>7.827</v>
      </c>
      <c r="W21" s="1" cm="1">
        <f t="array" aca="1" ref="W21" ca="1">INDIRECT("RawData!"&amp;ADDRESS($C$5+$A21,W$6))</f>
        <v>0.35499999999999998</v>
      </c>
      <c r="X21" s="1" cm="1">
        <f t="array" aca="1" ref="X21" ca="1">INDIRECT("RawData!"&amp;ADDRESS($C$5+$A21,X$6))</f>
        <v>5.6129999999999999E-2</v>
      </c>
      <c r="Y21" s="1" cm="1">
        <f t="array" aca="1" ref="Y21" ca="1">INDIRECT("RawData!"&amp;ADDRESS($C$5+$A21,Y$6))</f>
        <v>6.867</v>
      </c>
      <c r="Z21" s="1" cm="1">
        <f t="array" aca="1" ref="Z21" ca="1">INDIRECT("RawData!"&amp;ADDRESS($C$5+$A21,Z$6))</f>
        <v>0.15608</v>
      </c>
      <c r="AA21" s="1" cm="1">
        <f t="array" aca="1" ref="AA21" ca="1">INDIRECT("RawData!"&amp;ADDRESS($C$5+$A21,AA$6))</f>
        <v>2.4680000000000001E-2</v>
      </c>
    </row>
    <row r="22" spans="1:27" x14ac:dyDescent="0.3">
      <c r="A22" s="1">
        <v>11</v>
      </c>
      <c r="C22" s="1" t="str" cm="1">
        <f t="array" aca="1" ref="C22" ca="1">INDIRECT("RawData!A"&amp;TEXT(C$5+A22,"0"))</f>
        <v>Test3/ifx_w_lu8.x</v>
      </c>
      <c r="D22" s="1" cm="1">
        <f t="array" aca="1" ref="D22" ca="1">INDIRECT("RawData!"&amp;ADDRESS($C$5+$A22,D$6))</f>
        <v>7.2249999999999996</v>
      </c>
      <c r="E22" s="1" cm="1">
        <f t="array" aca="1" ref="E22" ca="1">INDIRECT("RawData!"&amp;ADDRESS($C$5+$A22,E$6))</f>
        <v>1.49336</v>
      </c>
      <c r="F22" s="1" cm="1">
        <f t="array" aca="1" ref="F22" ca="1">INDIRECT("RawData!"&amp;ADDRESS($C$5+$A22,F$6))</f>
        <v>0.23612</v>
      </c>
      <c r="G22" s="1" cm="1">
        <f t="array" aca="1" ref="G22" ca="1">INDIRECT("RawData!"&amp;ADDRESS($C$5+$A22,G$6))</f>
        <v>7.125</v>
      </c>
      <c r="H22" s="1" cm="1">
        <f t="array" aca="1" ref="H22" ca="1">INDIRECT("RawData!"&amp;ADDRESS($C$5+$A22,H$6))</f>
        <v>0.85297000000000001</v>
      </c>
      <c r="I22" s="1" cm="1">
        <f t="array" aca="1" ref="I22" ca="1">INDIRECT("RawData!"&amp;ADDRESS($C$5+$A22,I$6))</f>
        <v>0.13486999999999999</v>
      </c>
      <c r="J22" s="1" cm="1">
        <f t="array" aca="1" ref="J22" ca="1">INDIRECT("RawData!"&amp;ADDRESS($C$5+$A22,J$6))</f>
        <v>3.6360000000000001</v>
      </c>
      <c r="K22" s="1" cm="1">
        <f t="array" aca="1" ref="K22" ca="1">INDIRECT("RawData!"&amp;ADDRESS($C$5+$A22,K$6))</f>
        <v>9.8659999999999998E-2</v>
      </c>
      <c r="L22" s="1" cm="1">
        <f t="array" aca="1" ref="L22" ca="1">INDIRECT("RawData!"&amp;ADDRESS($C$5+$A22,L$6))</f>
        <v>1.5599999999999999E-2</v>
      </c>
      <c r="M22" s="1" cm="1">
        <f t="array" aca="1" ref="M22" ca="1">INDIRECT("RawData!"&amp;ADDRESS($C$5+$A22,M$6))</f>
        <v>3.4860000000000002</v>
      </c>
      <c r="N22" s="1" cm="1">
        <f t="array" aca="1" ref="N22" ca="1">INDIRECT("RawData!"&amp;ADDRESS($C$5+$A22,N$6))</f>
        <v>0.1431</v>
      </c>
      <c r="O22" s="1" cm="1">
        <f t="array" aca="1" ref="O22" ca="1">INDIRECT("RawData!"&amp;ADDRESS($C$5+$A22,O$6))</f>
        <v>2.2630000000000001E-2</v>
      </c>
      <c r="P22" s="1" cm="1">
        <f t="array" aca="1" ref="P22" ca="1">INDIRECT("RawData!"&amp;ADDRESS($C$5+$A22,P$6))</f>
        <v>0</v>
      </c>
      <c r="Q22" s="1" cm="1">
        <f t="array" aca="1" ref="Q22" ca="1">INDIRECT("RawData!"&amp;ADDRESS($C$5+$A22,Q$6))</f>
        <v>0</v>
      </c>
      <c r="R22" s="1" cm="1">
        <f t="array" aca="1" ref="R22" ca="1">INDIRECT("RawData!"&amp;ADDRESS($C$5+$A22,R$6))</f>
        <v>0</v>
      </c>
      <c r="S22" s="1" cm="1">
        <f t="array" aca="1" ref="S22" ca="1">INDIRECT("RawData!"&amp;ADDRESS($C$5+$A22,S$6))</f>
        <v>0</v>
      </c>
      <c r="T22" s="1" cm="1">
        <f t="array" aca="1" ref="T22" ca="1">INDIRECT("RawData!"&amp;ADDRESS($C$5+$A22,T$6))</f>
        <v>0</v>
      </c>
      <c r="U22" s="1" cm="1">
        <f t="array" aca="1" ref="U22" ca="1">INDIRECT("RawData!"&amp;ADDRESS($C$5+$A22,U$6))</f>
        <v>0</v>
      </c>
      <c r="V22" s="1" cm="1">
        <f t="array" aca="1" ref="V22" ca="1">INDIRECT("RawData!"&amp;ADDRESS($C$5+$A22,V$6))</f>
        <v>7.9870000000000001</v>
      </c>
      <c r="W22" s="1" cm="1">
        <f t="array" aca="1" ref="W22" ca="1">INDIRECT("RawData!"&amp;ADDRESS($C$5+$A22,W$6))</f>
        <v>0.34532000000000002</v>
      </c>
      <c r="X22" s="1" cm="1">
        <f t="array" aca="1" ref="X22" ca="1">INDIRECT("RawData!"&amp;ADDRESS($C$5+$A22,X$6))</f>
        <v>5.4600000000000003E-2</v>
      </c>
      <c r="Y22" s="1" cm="1">
        <f t="array" aca="1" ref="Y22" ca="1">INDIRECT("RawData!"&amp;ADDRESS($C$5+$A22,Y$6))</f>
        <v>6.843</v>
      </c>
      <c r="Z22" s="1" cm="1">
        <f t="array" aca="1" ref="Z22" ca="1">INDIRECT("RawData!"&amp;ADDRESS($C$5+$A22,Z$6))</f>
        <v>9.0499999999999997E-2</v>
      </c>
      <c r="AA22" s="1" cm="1">
        <f t="array" aca="1" ref="AA22" ca="1">INDIRECT("RawData!"&amp;ADDRESS($C$5+$A22,AA$6))</f>
        <v>1.431E-2</v>
      </c>
    </row>
    <row r="23" spans="1:27" x14ac:dyDescent="0.3">
      <c r="A23" s="1">
        <v>12</v>
      </c>
      <c r="C23" s="1" t="str" cm="1">
        <f t="array" aca="1" ref="C23" ca="1">INDIRECT("RawData!A"&amp;TEXT(C$5+A23,"0"))</f>
        <v>Test3/gpp.x</v>
      </c>
      <c r="D23" s="1" cm="1">
        <f t="array" aca="1" ref="D23" ca="1">INDIRECT("RawData!"&amp;ADDRESS($C$5+$A23,D$6))</f>
        <v>8.4459999999999997</v>
      </c>
      <c r="E23" s="1" cm="1">
        <f t="array" aca="1" ref="E23" ca="1">INDIRECT("RawData!"&amp;ADDRESS($C$5+$A23,E$6))</f>
        <v>0.26876</v>
      </c>
      <c r="F23" s="1" cm="1">
        <f t="array" aca="1" ref="F23" ca="1">INDIRECT("RawData!"&amp;ADDRESS($C$5+$A23,F$6))</f>
        <v>4.249E-2</v>
      </c>
      <c r="G23" s="1" cm="1">
        <f t="array" aca="1" ref="G23" ca="1">INDIRECT("RawData!"&amp;ADDRESS($C$5+$A23,G$6))</f>
        <v>8.5350000000000001</v>
      </c>
      <c r="H23" s="1" cm="1">
        <f t="array" aca="1" ref="H23" ca="1">INDIRECT("RawData!"&amp;ADDRESS($C$5+$A23,H$6))</f>
        <v>0.33276</v>
      </c>
      <c r="I23" s="1" cm="1">
        <f t="array" aca="1" ref="I23" ca="1">INDIRECT("RawData!"&amp;ADDRESS($C$5+$A23,I$6))</f>
        <v>5.2609999999999997E-2</v>
      </c>
      <c r="J23" s="1" cm="1">
        <f t="array" aca="1" ref="J23" ca="1">INDIRECT("RawData!"&amp;ADDRESS($C$5+$A23,J$6))</f>
        <v>5.52</v>
      </c>
      <c r="K23" s="1" cm="1">
        <f t="array" aca="1" ref="K23" ca="1">INDIRECT("RawData!"&amp;ADDRESS($C$5+$A23,K$6))</f>
        <v>0.13472000000000001</v>
      </c>
      <c r="L23" s="1" cm="1">
        <f t="array" aca="1" ref="L23" ca="1">INDIRECT("RawData!"&amp;ADDRESS($C$5+$A23,L$6))</f>
        <v>2.1299999999999999E-2</v>
      </c>
      <c r="M23" s="1" cm="1">
        <f t="array" aca="1" ref="M23" ca="1">INDIRECT("RawData!"&amp;ADDRESS($C$5+$A23,M$6))</f>
        <v>5.4960000000000004</v>
      </c>
      <c r="N23" s="1" cm="1">
        <f t="array" aca="1" ref="N23" ca="1">INDIRECT("RawData!"&amp;ADDRESS($C$5+$A23,N$6))</f>
        <v>0.10659</v>
      </c>
      <c r="O23" s="1" cm="1">
        <f t="array" aca="1" ref="O23" ca="1">INDIRECT("RawData!"&amp;ADDRESS($C$5+$A23,O$6))</f>
        <v>1.685E-2</v>
      </c>
      <c r="P23" s="1" cm="1">
        <f t="array" aca="1" ref="P23" ca="1">INDIRECT("RawData!"&amp;ADDRESS($C$5+$A23,P$6))</f>
        <v>13.396000000000001</v>
      </c>
      <c r="Q23" s="1" cm="1">
        <f t="array" aca="1" ref="Q23" ca="1">INDIRECT("RawData!"&amp;ADDRESS($C$5+$A23,Q$6))</f>
        <v>1.3455600000000001</v>
      </c>
      <c r="R23" s="1" cm="1">
        <f t="array" aca="1" ref="R23" ca="1">INDIRECT("RawData!"&amp;ADDRESS($C$5+$A23,R$6))</f>
        <v>0.21274999999999999</v>
      </c>
      <c r="S23" s="1" cm="1">
        <f t="array" aca="1" ref="S23" ca="1">INDIRECT("RawData!"&amp;ADDRESS($C$5+$A23,S$6))</f>
        <v>13.324</v>
      </c>
      <c r="T23" s="1" cm="1">
        <f t="array" aca="1" ref="T23" ca="1">INDIRECT("RawData!"&amp;ADDRESS($C$5+$A23,T$6))</f>
        <v>1.0573900000000001</v>
      </c>
      <c r="U23" s="1" cm="1">
        <f t="array" aca="1" ref="U23" ca="1">INDIRECT("RawData!"&amp;ADDRESS($C$5+$A23,U$6))</f>
        <v>0.16719000000000001</v>
      </c>
      <c r="V23" s="1" cm="1">
        <f t="array" aca="1" ref="V23" ca="1">INDIRECT("RawData!"&amp;ADDRESS($C$5+$A23,V$6))</f>
        <v>9.0920000000000005</v>
      </c>
      <c r="W23" s="1" cm="1">
        <f t="array" aca="1" ref="W23" ca="1">INDIRECT("RawData!"&amp;ADDRESS($C$5+$A23,W$6))</f>
        <v>0.19499</v>
      </c>
      <c r="X23" s="1" cm="1">
        <f t="array" aca="1" ref="X23" ca="1">INDIRECT("RawData!"&amp;ADDRESS($C$5+$A23,X$6))</f>
        <v>3.083E-2</v>
      </c>
      <c r="Y23" s="1" cm="1">
        <f t="array" aca="1" ref="Y23" ca="1">INDIRECT("RawData!"&amp;ADDRESS($C$5+$A23,Y$6))</f>
        <v>12.423999999999999</v>
      </c>
      <c r="Z23" s="1" cm="1">
        <f t="array" aca="1" ref="Z23" ca="1">INDIRECT("RawData!"&amp;ADDRESS($C$5+$A23,Z$6))</f>
        <v>6.0920000000000002E-2</v>
      </c>
      <c r="AA23" s="1" cm="1">
        <f t="array" aca="1" ref="AA23" ca="1">INDIRECT("RawData!"&amp;ADDRESS($C$5+$A23,AA$6))</f>
        <v>9.6299999999999997E-3</v>
      </c>
    </row>
    <row r="24" spans="1:27" x14ac:dyDescent="0.3">
      <c r="A24" s="1">
        <v>13</v>
      </c>
      <c r="C24" s="1" t="str" cm="1">
        <f t="array" aca="1" ref="C24" ca="1">INDIRECT("RawData!A"&amp;TEXT(C$5+A24,"0"))</f>
        <v>Test3/gpp_o3.x</v>
      </c>
      <c r="D24" s="1" cm="1">
        <f t="array" aca="1" ref="D24" ca="1">INDIRECT("RawData!"&amp;ADDRESS($C$5+$A24,D$6))</f>
        <v>8.5419999999999998</v>
      </c>
      <c r="E24" s="1" cm="1">
        <f t="array" aca="1" ref="E24" ca="1">INDIRECT("RawData!"&amp;ADDRESS($C$5+$A24,E$6))</f>
        <v>0.44252000000000002</v>
      </c>
      <c r="F24" s="1" cm="1">
        <f t="array" aca="1" ref="F24" ca="1">INDIRECT("RawData!"&amp;ADDRESS($C$5+$A24,F$6))</f>
        <v>6.9970000000000004E-2</v>
      </c>
      <c r="G24" s="1" cm="1">
        <f t="array" aca="1" ref="G24" ca="1">INDIRECT("RawData!"&amp;ADDRESS($C$5+$A24,G$6))</f>
        <v>8.407</v>
      </c>
      <c r="H24" s="1" cm="1">
        <f t="array" aca="1" ref="H24" ca="1">INDIRECT("RawData!"&amp;ADDRESS($C$5+$A24,H$6))</f>
        <v>0.35408000000000001</v>
      </c>
      <c r="I24" s="1" cm="1">
        <f t="array" aca="1" ref="I24" ca="1">INDIRECT("RawData!"&amp;ADDRESS($C$5+$A24,I$6))</f>
        <v>5.5980000000000002E-2</v>
      </c>
      <c r="J24" s="1" cm="1">
        <f t="array" aca="1" ref="J24" ca="1">INDIRECT("RawData!"&amp;ADDRESS($C$5+$A24,J$6))</f>
        <v>18.914000000000001</v>
      </c>
      <c r="K24" s="1" cm="1">
        <f t="array" aca="1" ref="K24" ca="1">INDIRECT("RawData!"&amp;ADDRESS($C$5+$A24,K$6))</f>
        <v>8.8080000000000006E-2</v>
      </c>
      <c r="L24" s="1" cm="1">
        <f t="array" aca="1" ref="L24" ca="1">INDIRECT("RawData!"&amp;ADDRESS($C$5+$A24,L$6))</f>
        <v>1.393E-2</v>
      </c>
      <c r="M24" s="1" cm="1">
        <f t="array" aca="1" ref="M24" ca="1">INDIRECT("RawData!"&amp;ADDRESS($C$5+$A24,M$6))</f>
        <v>8.2309999999999999</v>
      </c>
      <c r="N24" s="1" cm="1">
        <f t="array" aca="1" ref="N24" ca="1">INDIRECT("RawData!"&amp;ADDRESS($C$5+$A24,N$6))</f>
        <v>6.6860000000000003E-2</v>
      </c>
      <c r="O24" s="1" cm="1">
        <f t="array" aca="1" ref="O24" ca="1">INDIRECT("RawData!"&amp;ADDRESS($C$5+$A24,O$6))</f>
        <v>1.057E-2</v>
      </c>
      <c r="P24" s="1" cm="1">
        <f t="array" aca="1" ref="P24" ca="1">INDIRECT("RawData!"&amp;ADDRESS($C$5+$A24,P$6))</f>
        <v>13.603999999999999</v>
      </c>
      <c r="Q24" s="1" cm="1">
        <f t="array" aca="1" ref="Q24" ca="1">INDIRECT("RawData!"&amp;ADDRESS($C$5+$A24,Q$6))</f>
        <v>1.17709</v>
      </c>
      <c r="R24" s="1" cm="1">
        <f t="array" aca="1" ref="R24" ca="1">INDIRECT("RawData!"&amp;ADDRESS($C$5+$A24,R$6))</f>
        <v>0.18611</v>
      </c>
      <c r="S24" s="1" cm="1">
        <f t="array" aca="1" ref="S24" ca="1">INDIRECT("RawData!"&amp;ADDRESS($C$5+$A24,S$6))</f>
        <v>13.481999999999999</v>
      </c>
      <c r="T24" s="1" cm="1">
        <f t="array" aca="1" ref="T24" ca="1">INDIRECT("RawData!"&amp;ADDRESS($C$5+$A24,T$6))</f>
        <v>1.3861399999999999</v>
      </c>
      <c r="U24" s="1" cm="1">
        <f t="array" aca="1" ref="U24" ca="1">INDIRECT("RawData!"&amp;ADDRESS($C$5+$A24,U$6))</f>
        <v>0.21917</v>
      </c>
      <c r="V24" s="1" cm="1">
        <f t="array" aca="1" ref="V24" ca="1">INDIRECT("RawData!"&amp;ADDRESS($C$5+$A24,V$6))</f>
        <v>14.579000000000001</v>
      </c>
      <c r="W24" s="1" cm="1">
        <f t="array" aca="1" ref="W24" ca="1">INDIRECT("RawData!"&amp;ADDRESS($C$5+$A24,W$6))</f>
        <v>0.14127999999999999</v>
      </c>
      <c r="X24" s="1" cm="1">
        <f t="array" aca="1" ref="X24" ca="1">INDIRECT("RawData!"&amp;ADDRESS($C$5+$A24,X$6))</f>
        <v>2.2339999999999999E-2</v>
      </c>
      <c r="Y24" s="1" cm="1">
        <f t="array" aca="1" ref="Y24" ca="1">INDIRECT("RawData!"&amp;ADDRESS($C$5+$A24,Y$6))</f>
        <v>10.707000000000001</v>
      </c>
      <c r="Z24" s="1" cm="1">
        <f t="array" aca="1" ref="Z24" ca="1">INDIRECT("RawData!"&amp;ADDRESS($C$5+$A24,Z$6))</f>
        <v>0.1124</v>
      </c>
      <c r="AA24" s="1" cm="1">
        <f t="array" aca="1" ref="AA24" ca="1">INDIRECT("RawData!"&amp;ADDRESS($C$5+$A24,AA$6))</f>
        <v>1.7770000000000001E-2</v>
      </c>
    </row>
    <row r="25" spans="1:27" x14ac:dyDescent="0.3">
      <c r="A25" s="1">
        <v>14</v>
      </c>
      <c r="C25" s="1" t="str" cm="1">
        <f t="array" aca="1" ref="C25" ca="1">INDIRECT("RawData!A"&amp;TEXT(C$5+A25,"0"))</f>
        <v>Test3/gpp_w_lu2.x</v>
      </c>
      <c r="D25" s="1" cm="1">
        <f t="array" aca="1" ref="D25" ca="1">INDIRECT("RawData!"&amp;ADDRESS($C$5+$A25,D$6))</f>
        <v>8.42</v>
      </c>
      <c r="E25" s="1" cm="1">
        <f t="array" aca="1" ref="E25" ca="1">INDIRECT("RawData!"&amp;ADDRESS($C$5+$A25,E$6))</f>
        <v>0.18884000000000001</v>
      </c>
      <c r="F25" s="1" cm="1">
        <f t="array" aca="1" ref="F25" ca="1">INDIRECT("RawData!"&amp;ADDRESS($C$5+$A25,F$6))</f>
        <v>2.9860000000000001E-2</v>
      </c>
      <c r="G25" s="1" cm="1">
        <f t="array" aca="1" ref="G25" ca="1">INDIRECT("RawData!"&amp;ADDRESS($C$5+$A25,G$6))</f>
        <v>8.5109999999999992</v>
      </c>
      <c r="H25" s="1" cm="1">
        <f t="array" aca="1" ref="H25" ca="1">INDIRECT("RawData!"&amp;ADDRESS($C$5+$A25,H$6))</f>
        <v>0.31541000000000002</v>
      </c>
      <c r="I25" s="1" cm="1">
        <f t="array" aca="1" ref="I25" ca="1">INDIRECT("RawData!"&amp;ADDRESS($C$5+$A25,I$6))</f>
        <v>4.9869999999999998E-2</v>
      </c>
      <c r="J25" s="1" cm="1">
        <f t="array" aca="1" ref="J25" ca="1">INDIRECT("RawData!"&amp;ADDRESS($C$5+$A25,J$6))</f>
        <v>5.4930000000000003</v>
      </c>
      <c r="K25" s="1" cm="1">
        <f t="array" aca="1" ref="K25" ca="1">INDIRECT("RawData!"&amp;ADDRESS($C$5+$A25,K$6))</f>
        <v>0.1061</v>
      </c>
      <c r="L25" s="1" cm="1">
        <f t="array" aca="1" ref="L25" ca="1">INDIRECT("RawData!"&amp;ADDRESS($C$5+$A25,L$6))</f>
        <v>1.678E-2</v>
      </c>
      <c r="M25" s="1" cm="1">
        <f t="array" aca="1" ref="M25" ca="1">INDIRECT("RawData!"&amp;ADDRESS($C$5+$A25,M$6))</f>
        <v>5.5010000000000003</v>
      </c>
      <c r="N25" s="1" cm="1">
        <f t="array" aca="1" ref="N25" ca="1">INDIRECT("RawData!"&amp;ADDRESS($C$5+$A25,N$6))</f>
        <v>0.11797000000000001</v>
      </c>
      <c r="O25" s="1" cm="1">
        <f t="array" aca="1" ref="O25" ca="1">INDIRECT("RawData!"&amp;ADDRESS($C$5+$A25,O$6))</f>
        <v>1.865E-2</v>
      </c>
      <c r="P25" s="1" cm="1">
        <f t="array" aca="1" ref="P25" ca="1">INDIRECT("RawData!"&amp;ADDRESS($C$5+$A25,P$6))</f>
        <v>16.076000000000001</v>
      </c>
      <c r="Q25" s="1" cm="1">
        <f t="array" aca="1" ref="Q25" ca="1">INDIRECT("RawData!"&amp;ADDRESS($C$5+$A25,Q$6))</f>
        <v>1.19693</v>
      </c>
      <c r="R25" s="1" cm="1">
        <f t="array" aca="1" ref="R25" ca="1">INDIRECT("RawData!"&amp;ADDRESS($C$5+$A25,R$6))</f>
        <v>0.18925</v>
      </c>
      <c r="S25" s="1" cm="1">
        <f t="array" aca="1" ref="S25" ca="1">INDIRECT("RawData!"&amp;ADDRESS($C$5+$A25,S$6))</f>
        <v>16.504999999999999</v>
      </c>
      <c r="T25" s="1" cm="1">
        <f t="array" aca="1" ref="T25" ca="1">INDIRECT("RawData!"&amp;ADDRESS($C$5+$A25,T$6))</f>
        <v>1.2905599999999999</v>
      </c>
      <c r="U25" s="1" cm="1">
        <f t="array" aca="1" ref="U25" ca="1">INDIRECT("RawData!"&amp;ADDRESS($C$5+$A25,U$6))</f>
        <v>0.20405000000000001</v>
      </c>
      <c r="V25" s="1" cm="1">
        <f t="array" aca="1" ref="V25" ca="1">INDIRECT("RawData!"&amp;ADDRESS($C$5+$A25,V$6))</f>
        <v>9.1210000000000004</v>
      </c>
      <c r="W25" s="1" cm="1">
        <f t="array" aca="1" ref="W25" ca="1">INDIRECT("RawData!"&amp;ADDRESS($C$5+$A25,W$6))</f>
        <v>0.24932000000000001</v>
      </c>
      <c r="X25" s="1" cm="1">
        <f t="array" aca="1" ref="X25" ca="1">INDIRECT("RawData!"&amp;ADDRESS($C$5+$A25,X$6))</f>
        <v>3.9419999999999997E-2</v>
      </c>
      <c r="Y25" s="1" cm="1">
        <f t="array" aca="1" ref="Y25" ca="1">INDIRECT("RawData!"&amp;ADDRESS($C$5+$A25,Y$6))</f>
        <v>11.927</v>
      </c>
      <c r="Z25" s="1" cm="1">
        <f t="array" aca="1" ref="Z25" ca="1">INDIRECT("RawData!"&amp;ADDRESS($C$5+$A25,Z$6))</f>
        <v>0.10204000000000001</v>
      </c>
      <c r="AA25" s="1" cm="1">
        <f t="array" aca="1" ref="AA25" ca="1">INDIRECT("RawData!"&amp;ADDRESS($C$5+$A25,AA$6))</f>
        <v>1.6129999999999999E-2</v>
      </c>
    </row>
    <row r="26" spans="1:27" x14ac:dyDescent="0.3">
      <c r="A26" s="1">
        <v>15</v>
      </c>
      <c r="C26" s="1" t="str" cm="1">
        <f t="array" aca="1" ref="C26" ca="1">INDIRECT("RawData!A"&amp;TEXT(C$5+A26,"0"))</f>
        <v>Test3/gpp_w_lu2_o3.x</v>
      </c>
      <c r="D26" s="1" cm="1">
        <f t="array" aca="1" ref="D26" ca="1">INDIRECT("RawData!"&amp;ADDRESS($C$5+$A26,D$6))</f>
        <v>8.4209999999999994</v>
      </c>
      <c r="E26" s="1" cm="1">
        <f t="array" aca="1" ref="E26" ca="1">INDIRECT("RawData!"&amp;ADDRESS($C$5+$A26,E$6))</f>
        <v>0.22386</v>
      </c>
      <c r="F26" s="1" cm="1">
        <f t="array" aca="1" ref="F26" ca="1">INDIRECT("RawData!"&amp;ADDRESS($C$5+$A26,F$6))</f>
        <v>3.5400000000000001E-2</v>
      </c>
      <c r="G26" s="1" cm="1">
        <f t="array" aca="1" ref="G26" ca="1">INDIRECT("RawData!"&amp;ADDRESS($C$5+$A26,G$6))</f>
        <v>8.609</v>
      </c>
      <c r="H26" s="1" cm="1">
        <f t="array" aca="1" ref="H26" ca="1">INDIRECT("RawData!"&amp;ADDRESS($C$5+$A26,H$6))</f>
        <v>0.40865000000000001</v>
      </c>
      <c r="I26" s="1" cm="1">
        <f t="array" aca="1" ref="I26" ca="1">INDIRECT("RawData!"&amp;ADDRESS($C$5+$A26,I$6))</f>
        <v>6.4610000000000001E-2</v>
      </c>
      <c r="J26" s="1" cm="1">
        <f t="array" aca="1" ref="J26" ca="1">INDIRECT("RawData!"&amp;ADDRESS($C$5+$A26,J$6))</f>
        <v>5.46</v>
      </c>
      <c r="K26" s="1" cm="1">
        <f t="array" aca="1" ref="K26" ca="1">INDIRECT("RawData!"&amp;ADDRESS($C$5+$A26,K$6))</f>
        <v>9.9220000000000003E-2</v>
      </c>
      <c r="L26" s="1" cm="1">
        <f t="array" aca="1" ref="L26" ca="1">INDIRECT("RawData!"&amp;ADDRESS($C$5+$A26,L$6))</f>
        <v>1.5689999999999999E-2</v>
      </c>
      <c r="M26" s="1" cm="1">
        <f t="array" aca="1" ref="M26" ca="1">INDIRECT("RawData!"&amp;ADDRESS($C$5+$A26,M$6))</f>
        <v>5.524</v>
      </c>
      <c r="N26" s="1" cm="1">
        <f t="array" aca="1" ref="N26" ca="1">INDIRECT("RawData!"&amp;ADDRESS($C$5+$A26,N$6))</f>
        <v>0.14746999999999999</v>
      </c>
      <c r="O26" s="1" cm="1">
        <f t="array" aca="1" ref="O26" ca="1">INDIRECT("RawData!"&amp;ADDRESS($C$5+$A26,O$6))</f>
        <v>2.332E-2</v>
      </c>
      <c r="P26" s="1" cm="1">
        <f t="array" aca="1" ref="P26" ca="1">INDIRECT("RawData!"&amp;ADDRESS($C$5+$A26,P$6))</f>
        <v>16.960999999999999</v>
      </c>
      <c r="Q26" s="1" cm="1">
        <f t="array" aca="1" ref="Q26" ca="1">INDIRECT("RawData!"&amp;ADDRESS($C$5+$A26,Q$6))</f>
        <v>1.12165</v>
      </c>
      <c r="R26" s="1" cm="1">
        <f t="array" aca="1" ref="R26" ca="1">INDIRECT("RawData!"&amp;ADDRESS($C$5+$A26,R$6))</f>
        <v>0.17735000000000001</v>
      </c>
      <c r="S26" s="1" cm="1">
        <f t="array" aca="1" ref="S26" ca="1">INDIRECT("RawData!"&amp;ADDRESS($C$5+$A26,S$6))</f>
        <v>16.859000000000002</v>
      </c>
      <c r="T26" s="1" cm="1">
        <f t="array" aca="1" ref="T26" ca="1">INDIRECT("RawData!"&amp;ADDRESS($C$5+$A26,T$6))</f>
        <v>1.3006899999999999</v>
      </c>
      <c r="U26" s="1" cm="1">
        <f t="array" aca="1" ref="U26" ca="1">INDIRECT("RawData!"&amp;ADDRESS($C$5+$A26,U$6))</f>
        <v>0.20566000000000001</v>
      </c>
      <c r="V26" s="1" cm="1">
        <f t="array" aca="1" ref="V26" ca="1">INDIRECT("RawData!"&amp;ADDRESS($C$5+$A26,V$6))</f>
        <v>9.1769999999999996</v>
      </c>
      <c r="W26" s="1" cm="1">
        <f t="array" aca="1" ref="W26" ca="1">INDIRECT("RawData!"&amp;ADDRESS($C$5+$A26,W$6))</f>
        <v>0.21163000000000001</v>
      </c>
      <c r="X26" s="1" cm="1">
        <f t="array" aca="1" ref="X26" ca="1">INDIRECT("RawData!"&amp;ADDRESS($C$5+$A26,X$6))</f>
        <v>3.3459999999999997E-2</v>
      </c>
      <c r="Y26" s="1" cm="1">
        <f t="array" aca="1" ref="Y26" ca="1">INDIRECT("RawData!"&amp;ADDRESS($C$5+$A26,Y$6))</f>
        <v>11.981999999999999</v>
      </c>
      <c r="Z26" s="1" cm="1">
        <f t="array" aca="1" ref="Z26" ca="1">INDIRECT("RawData!"&amp;ADDRESS($C$5+$A26,Z$6))</f>
        <v>6.9120000000000001E-2</v>
      </c>
      <c r="AA26" s="1" cm="1">
        <f t="array" aca="1" ref="AA26" ca="1">INDIRECT("RawData!"&amp;ADDRESS($C$5+$A26,AA$6))</f>
        <v>1.093E-2</v>
      </c>
    </row>
    <row r="27" spans="1:27" x14ac:dyDescent="0.3">
      <c r="A27" s="1">
        <v>16</v>
      </c>
      <c r="C27" s="1" t="str" cm="1">
        <f t="array" aca="1" ref="C27" ca="1">INDIRECT("RawData!A"&amp;TEXT(C$5+A27,"0"))</f>
        <v>Test3/gpp_w_lu4.x</v>
      </c>
      <c r="D27" s="1" cm="1">
        <f t="array" aca="1" ref="D27" ca="1">INDIRECT("RawData!"&amp;ADDRESS($C$5+$A27,D$6))</f>
        <v>8.4710000000000001</v>
      </c>
      <c r="E27" s="1" cm="1">
        <f t="array" aca="1" ref="E27" ca="1">INDIRECT("RawData!"&amp;ADDRESS($C$5+$A27,E$6))</f>
        <v>0.36281000000000002</v>
      </c>
      <c r="F27" s="1" cm="1">
        <f t="array" aca="1" ref="F27" ca="1">INDIRECT("RawData!"&amp;ADDRESS($C$5+$A27,F$6))</f>
        <v>5.7369999999999997E-2</v>
      </c>
      <c r="G27" s="1" cm="1">
        <f t="array" aca="1" ref="G27" ca="1">INDIRECT("RawData!"&amp;ADDRESS($C$5+$A27,G$6))</f>
        <v>8.5649999999999995</v>
      </c>
      <c r="H27" s="1" cm="1">
        <f t="array" aca="1" ref="H27" ca="1">INDIRECT("RawData!"&amp;ADDRESS($C$5+$A27,H$6))</f>
        <v>0.45319999999999999</v>
      </c>
      <c r="I27" s="1" cm="1">
        <f t="array" aca="1" ref="I27" ca="1">INDIRECT("RawData!"&amp;ADDRESS($C$5+$A27,I$6))</f>
        <v>7.1660000000000001E-2</v>
      </c>
      <c r="J27" s="1" cm="1">
        <f t="array" aca="1" ref="J27" ca="1">INDIRECT("RawData!"&amp;ADDRESS($C$5+$A27,J$6))</f>
        <v>5.5</v>
      </c>
      <c r="K27" s="1" cm="1">
        <f t="array" aca="1" ref="K27" ca="1">INDIRECT("RawData!"&amp;ADDRESS($C$5+$A27,K$6))</f>
        <v>0.13233</v>
      </c>
      <c r="L27" s="1" cm="1">
        <f t="array" aca="1" ref="L27" ca="1">INDIRECT("RawData!"&amp;ADDRESS($C$5+$A27,L$6))</f>
        <v>2.0920000000000001E-2</v>
      </c>
      <c r="M27" s="1" cm="1">
        <f t="array" aca="1" ref="M27" ca="1">INDIRECT("RawData!"&amp;ADDRESS($C$5+$A27,M$6))</f>
        <v>5.5030000000000001</v>
      </c>
      <c r="N27" s="1" cm="1">
        <f t="array" aca="1" ref="N27" ca="1">INDIRECT("RawData!"&amp;ADDRESS($C$5+$A27,N$6))</f>
        <v>0.13150000000000001</v>
      </c>
      <c r="O27" s="1" cm="1">
        <f t="array" aca="1" ref="O27" ca="1">INDIRECT("RawData!"&amp;ADDRESS($C$5+$A27,O$6))</f>
        <v>2.0789999999999999E-2</v>
      </c>
      <c r="P27" s="1" cm="1">
        <f t="array" aca="1" ref="P27" ca="1">INDIRECT("RawData!"&amp;ADDRESS($C$5+$A27,P$6))</f>
        <v>17.064</v>
      </c>
      <c r="Q27" s="1" cm="1">
        <f t="array" aca="1" ref="Q27" ca="1">INDIRECT("RawData!"&amp;ADDRESS($C$5+$A27,Q$6))</f>
        <v>1.2815099999999999</v>
      </c>
      <c r="R27" s="1" cm="1">
        <f t="array" aca="1" ref="R27" ca="1">INDIRECT("RawData!"&amp;ADDRESS($C$5+$A27,R$6))</f>
        <v>0.20261999999999999</v>
      </c>
      <c r="S27" s="1" cm="1">
        <f t="array" aca="1" ref="S27" ca="1">INDIRECT("RawData!"&amp;ADDRESS($C$5+$A27,S$6))</f>
        <v>16.606999999999999</v>
      </c>
      <c r="T27" s="1" cm="1">
        <f t="array" aca="1" ref="T27" ca="1">INDIRECT("RawData!"&amp;ADDRESS($C$5+$A27,T$6))</f>
        <v>1.26702</v>
      </c>
      <c r="U27" s="1" cm="1">
        <f t="array" aca="1" ref="U27" ca="1">INDIRECT("RawData!"&amp;ADDRESS($C$5+$A27,U$6))</f>
        <v>0.20033000000000001</v>
      </c>
      <c r="V27" s="1" cm="1">
        <f t="array" aca="1" ref="V27" ca="1">INDIRECT("RawData!"&amp;ADDRESS($C$5+$A27,V$6))</f>
        <v>8.9149999999999991</v>
      </c>
      <c r="W27" s="1" cm="1">
        <f t="array" aca="1" ref="W27" ca="1">INDIRECT("RawData!"&amp;ADDRESS($C$5+$A27,W$6))</f>
        <v>0.26425999999999999</v>
      </c>
      <c r="X27" s="1" cm="1">
        <f t="array" aca="1" ref="X27" ca="1">INDIRECT("RawData!"&amp;ADDRESS($C$5+$A27,X$6))</f>
        <v>4.1779999999999998E-2</v>
      </c>
      <c r="Y27" s="1" cm="1">
        <f t="array" aca="1" ref="Y27" ca="1">INDIRECT("RawData!"&amp;ADDRESS($C$5+$A27,Y$6))</f>
        <v>11.959</v>
      </c>
      <c r="Z27" s="1" cm="1">
        <f t="array" aca="1" ref="Z27" ca="1">INDIRECT("RawData!"&amp;ADDRESS($C$5+$A27,Z$6))</f>
        <v>3.0710000000000001E-2</v>
      </c>
      <c r="AA27" s="1" cm="1">
        <f t="array" aca="1" ref="AA27" ca="1">INDIRECT("RawData!"&amp;ADDRESS($C$5+$A27,AA$6))</f>
        <v>4.8599999999999997E-3</v>
      </c>
    </row>
    <row r="28" spans="1:27" x14ac:dyDescent="0.3">
      <c r="A28" s="1">
        <v>17</v>
      </c>
      <c r="C28" s="1" t="str" cm="1">
        <f t="array" aca="1" ref="C28" ca="1">INDIRECT("RawData!A"&amp;TEXT(C$5+A28,"0"))</f>
        <v>Test3/gpp_w_lu8.x</v>
      </c>
      <c r="D28" s="1" cm="1">
        <f t="array" aca="1" ref="D28" ca="1">INDIRECT("RawData!"&amp;ADDRESS($C$5+$A28,D$6))</f>
        <v>8.3859999999999992</v>
      </c>
      <c r="E28" s="1" cm="1">
        <f t="array" aca="1" ref="E28" ca="1">INDIRECT("RawData!"&amp;ADDRESS($C$5+$A28,E$6))</f>
        <v>0.21082999999999999</v>
      </c>
      <c r="F28" s="1" cm="1">
        <f t="array" aca="1" ref="F28" ca="1">INDIRECT("RawData!"&amp;ADDRESS($C$5+$A28,F$6))</f>
        <v>3.3329999999999999E-2</v>
      </c>
      <c r="G28" s="1" cm="1">
        <f t="array" aca="1" ref="G28" ca="1">INDIRECT("RawData!"&amp;ADDRESS($C$5+$A28,G$6))</f>
        <v>8.4770000000000003</v>
      </c>
      <c r="H28" s="1" cm="1">
        <f t="array" aca="1" ref="H28" ca="1">INDIRECT("RawData!"&amp;ADDRESS($C$5+$A28,H$6))</f>
        <v>0.32258999999999999</v>
      </c>
      <c r="I28" s="1" cm="1">
        <f t="array" aca="1" ref="I28" ca="1">INDIRECT("RawData!"&amp;ADDRESS($C$5+$A28,I$6))</f>
        <v>5.101E-2</v>
      </c>
      <c r="J28" s="1" cm="1">
        <f t="array" aca="1" ref="J28" ca="1">INDIRECT("RawData!"&amp;ADDRESS($C$5+$A28,J$6))</f>
        <v>5.4939999999999998</v>
      </c>
      <c r="K28" s="1" cm="1">
        <f t="array" aca="1" ref="K28" ca="1">INDIRECT("RawData!"&amp;ADDRESS($C$5+$A28,K$6))</f>
        <v>9.0990000000000001E-2</v>
      </c>
      <c r="L28" s="1" cm="1">
        <f t="array" aca="1" ref="L28" ca="1">INDIRECT("RawData!"&amp;ADDRESS($C$5+$A28,L$6))</f>
        <v>1.439E-2</v>
      </c>
      <c r="M28" s="1" cm="1">
        <f t="array" aca="1" ref="M28" ca="1">INDIRECT("RawData!"&amp;ADDRESS($C$5+$A28,M$6))</f>
        <v>5.52</v>
      </c>
      <c r="N28" s="1" cm="1">
        <f t="array" aca="1" ref="N28" ca="1">INDIRECT("RawData!"&amp;ADDRESS($C$5+$A28,N$6))</f>
        <v>0.12537000000000001</v>
      </c>
      <c r="O28" s="1" cm="1">
        <f t="array" aca="1" ref="O28" ca="1">INDIRECT("RawData!"&amp;ADDRESS($C$5+$A28,O$6))</f>
        <v>1.9820000000000001E-2</v>
      </c>
      <c r="P28" s="1" cm="1">
        <f t="array" aca="1" ref="P28" ca="1">INDIRECT("RawData!"&amp;ADDRESS($C$5+$A28,P$6))</f>
        <v>16.989000000000001</v>
      </c>
      <c r="Q28" s="1" cm="1">
        <f t="array" aca="1" ref="Q28" ca="1">INDIRECT("RawData!"&amp;ADDRESS($C$5+$A28,Q$6))</f>
        <v>1.36992</v>
      </c>
      <c r="R28" s="1" cm="1">
        <f t="array" aca="1" ref="R28" ca="1">INDIRECT("RawData!"&amp;ADDRESS($C$5+$A28,R$6))</f>
        <v>0.21659999999999999</v>
      </c>
      <c r="S28" s="1" cm="1">
        <f t="array" aca="1" ref="S28" ca="1">INDIRECT("RawData!"&amp;ADDRESS($C$5+$A28,S$6))</f>
        <v>16.818000000000001</v>
      </c>
      <c r="T28" s="1" cm="1">
        <f t="array" aca="1" ref="T28" ca="1">INDIRECT("RawData!"&amp;ADDRESS($C$5+$A28,T$6))</f>
        <v>1.74864</v>
      </c>
      <c r="U28" s="1" cm="1">
        <f t="array" aca="1" ref="U28" ca="1">INDIRECT("RawData!"&amp;ADDRESS($C$5+$A28,U$6))</f>
        <v>0.27648</v>
      </c>
      <c r="V28" s="1" cm="1">
        <f t="array" aca="1" ref="V28" ca="1">INDIRECT("RawData!"&amp;ADDRESS($C$5+$A28,V$6))</f>
        <v>9.0890000000000004</v>
      </c>
      <c r="W28" s="1" cm="1">
        <f t="array" aca="1" ref="W28" ca="1">INDIRECT("RawData!"&amp;ADDRESS($C$5+$A28,W$6))</f>
        <v>0.24943000000000001</v>
      </c>
      <c r="X28" s="1" cm="1">
        <f t="array" aca="1" ref="X28" ca="1">INDIRECT("RawData!"&amp;ADDRESS($C$5+$A28,X$6))</f>
        <v>3.9440000000000003E-2</v>
      </c>
      <c r="Y28" s="1" cm="1">
        <f t="array" aca="1" ref="Y28" ca="1">INDIRECT("RawData!"&amp;ADDRESS($C$5+$A28,Y$6))</f>
        <v>11.977</v>
      </c>
      <c r="Z28" s="1" cm="1">
        <f t="array" aca="1" ref="Z28" ca="1">INDIRECT("RawData!"&amp;ADDRESS($C$5+$A28,Z$6))</f>
        <v>3.0360000000000002E-2</v>
      </c>
      <c r="AA28" s="1" cm="1">
        <f t="array" aca="1" ref="AA28" ca="1">INDIRECT("RawData!"&amp;ADDRESS($C$5+$A28,AA$6))</f>
        <v>4.7999999999999996E-3</v>
      </c>
    </row>
    <row r="29" spans="1:27" x14ac:dyDescent="0.3">
      <c r="A29" s="1">
        <v>18</v>
      </c>
      <c r="C29" s="1" t="str" cm="1">
        <f t="array" aca="1" ref="C29" ca="1">INDIRECT("RawData!A"&amp;TEXT(C$5+A29,"0"))</f>
        <v>Test3/icx.x</v>
      </c>
      <c r="D29" s="1" cm="1">
        <f t="array" aca="1" ref="D29" ca="1">INDIRECT("RawData!"&amp;ADDRESS($C$5+$A29,D$6))</f>
        <v>7.35</v>
      </c>
      <c r="E29" s="1" cm="1">
        <f t="array" aca="1" ref="E29" ca="1">INDIRECT("RawData!"&amp;ADDRESS($C$5+$A29,E$6))</f>
        <v>0.2671</v>
      </c>
      <c r="F29" s="1" cm="1">
        <f t="array" aca="1" ref="F29" ca="1">INDIRECT("RawData!"&amp;ADDRESS($C$5+$A29,F$6))</f>
        <v>4.2229999999999997E-2</v>
      </c>
      <c r="G29" s="1" cm="1">
        <f t="array" aca="1" ref="G29" ca="1">INDIRECT("RawData!"&amp;ADDRESS($C$5+$A29,G$6))</f>
        <v>6.9829999999999997</v>
      </c>
      <c r="H29" s="1" cm="1">
        <f t="array" aca="1" ref="H29" ca="1">INDIRECT("RawData!"&amp;ADDRESS($C$5+$A29,H$6))</f>
        <v>0.46803</v>
      </c>
      <c r="I29" s="1" cm="1">
        <f t="array" aca="1" ref="I29" ca="1">INDIRECT("RawData!"&amp;ADDRESS($C$5+$A29,I$6))</f>
        <v>7.3999999999999996E-2</v>
      </c>
      <c r="J29" s="1" cm="1">
        <f t="array" aca="1" ref="J29" ca="1">INDIRECT("RawData!"&amp;ADDRESS($C$5+$A29,J$6))</f>
        <v>3.5590000000000002</v>
      </c>
      <c r="K29" s="1" cm="1">
        <f t="array" aca="1" ref="K29" ca="1">INDIRECT("RawData!"&amp;ADDRESS($C$5+$A29,K$6))</f>
        <v>0.16553999999999999</v>
      </c>
      <c r="L29" s="1" cm="1">
        <f t="array" aca="1" ref="L29" ca="1">INDIRECT("RawData!"&amp;ADDRESS($C$5+$A29,L$6))</f>
        <v>2.6169999999999999E-2</v>
      </c>
      <c r="M29" s="1" cm="1">
        <f t="array" aca="1" ref="M29" ca="1">INDIRECT("RawData!"&amp;ADDRESS($C$5+$A29,M$6))</f>
        <v>3.476</v>
      </c>
      <c r="N29" s="1" cm="1">
        <f t="array" aca="1" ref="N29" ca="1">INDIRECT("RawData!"&amp;ADDRESS($C$5+$A29,N$6))</f>
        <v>0.17513999999999999</v>
      </c>
      <c r="O29" s="1" cm="1">
        <f t="array" aca="1" ref="O29" ca="1">INDIRECT("RawData!"&amp;ADDRESS($C$5+$A29,O$6))</f>
        <v>2.7689999999999999E-2</v>
      </c>
      <c r="P29" s="1" cm="1">
        <f t="array" aca="1" ref="P29" ca="1">INDIRECT("RawData!"&amp;ADDRESS($C$5+$A29,P$6))</f>
        <v>0</v>
      </c>
      <c r="Q29" s="1" cm="1">
        <f t="array" aca="1" ref="Q29" ca="1">INDIRECT("RawData!"&amp;ADDRESS($C$5+$A29,Q$6))</f>
        <v>0</v>
      </c>
      <c r="R29" s="1" cm="1">
        <f t="array" aca="1" ref="R29" ca="1">INDIRECT("RawData!"&amp;ADDRESS($C$5+$A29,R$6))</f>
        <v>0</v>
      </c>
      <c r="S29" s="1" cm="1">
        <f t="array" aca="1" ref="S29" ca="1">INDIRECT("RawData!"&amp;ADDRESS($C$5+$A29,S$6))</f>
        <v>0</v>
      </c>
      <c r="T29" s="1" cm="1">
        <f t="array" aca="1" ref="T29" ca="1">INDIRECT("RawData!"&amp;ADDRESS($C$5+$A29,T$6))</f>
        <v>0</v>
      </c>
      <c r="U29" s="1" cm="1">
        <f t="array" aca="1" ref="U29" ca="1">INDIRECT("RawData!"&amp;ADDRESS($C$5+$A29,U$6))</f>
        <v>0</v>
      </c>
      <c r="V29" s="1" cm="1">
        <f t="array" aca="1" ref="V29" ca="1">INDIRECT("RawData!"&amp;ADDRESS($C$5+$A29,V$6))</f>
        <v>7.5110000000000001</v>
      </c>
      <c r="W29" s="1" cm="1">
        <f t="array" aca="1" ref="W29" ca="1">INDIRECT("RawData!"&amp;ADDRESS($C$5+$A29,W$6))</f>
        <v>0.23516000000000001</v>
      </c>
      <c r="X29" s="1" cm="1">
        <f t="array" aca="1" ref="X29" ca="1">INDIRECT("RawData!"&amp;ADDRESS($C$5+$A29,X$6))</f>
        <v>3.7179999999999998E-2</v>
      </c>
      <c r="Y29" s="1" cm="1">
        <f t="array" aca="1" ref="Y29" ca="1">INDIRECT("RawData!"&amp;ADDRESS($C$5+$A29,Y$6))</f>
        <v>6.883</v>
      </c>
      <c r="Z29" s="1" cm="1">
        <f t="array" aca="1" ref="Z29" ca="1">INDIRECT("RawData!"&amp;ADDRESS($C$5+$A29,Z$6))</f>
        <v>0.13142999999999999</v>
      </c>
      <c r="AA29" s="1" cm="1">
        <f t="array" aca="1" ref="AA29" ca="1">INDIRECT("RawData!"&amp;ADDRESS($C$5+$A29,AA$6))</f>
        <v>2.078E-2</v>
      </c>
    </row>
    <row r="30" spans="1:27" x14ac:dyDescent="0.3">
      <c r="A30" s="1">
        <v>19</v>
      </c>
      <c r="C30" s="1" t="str" cm="1">
        <f t="array" aca="1" ref="C30" ca="1">INDIRECT("RawData!A"&amp;TEXT(C$5+A30,"0"))</f>
        <v>Test3/icx_o3.x</v>
      </c>
      <c r="D30" s="1" cm="1">
        <f t="array" aca="1" ref="D30" ca="1">INDIRECT("RawData!"&amp;ADDRESS($C$5+$A30,D$6))</f>
        <v>7.4240000000000004</v>
      </c>
      <c r="E30" s="1" cm="1">
        <f t="array" aca="1" ref="E30" ca="1">INDIRECT("RawData!"&amp;ADDRESS($C$5+$A30,E$6))</f>
        <v>0.55783000000000005</v>
      </c>
      <c r="F30" s="1" cm="1">
        <f t="array" aca="1" ref="F30" ca="1">INDIRECT("RawData!"&amp;ADDRESS($C$5+$A30,F$6))</f>
        <v>8.8200000000000001E-2</v>
      </c>
      <c r="G30" s="1" cm="1">
        <f t="array" aca="1" ref="G30" ca="1">INDIRECT("RawData!"&amp;ADDRESS($C$5+$A30,G$6))</f>
        <v>7.0060000000000002</v>
      </c>
      <c r="H30" s="1" cm="1">
        <f t="array" aca="1" ref="H30" ca="1">INDIRECT("RawData!"&amp;ADDRESS($C$5+$A30,H$6))</f>
        <v>0.44951999999999998</v>
      </c>
      <c r="I30" s="1" cm="1">
        <f t="array" aca="1" ref="I30" ca="1">INDIRECT("RawData!"&amp;ADDRESS($C$5+$A30,I$6))</f>
        <v>7.1080000000000004E-2</v>
      </c>
      <c r="J30" s="1" cm="1">
        <f t="array" aca="1" ref="J30" ca="1">INDIRECT("RawData!"&amp;ADDRESS($C$5+$A30,J$6))</f>
        <v>3.5619999999999998</v>
      </c>
      <c r="K30" s="1" cm="1">
        <f t="array" aca="1" ref="K30" ca="1">INDIRECT("RawData!"&amp;ADDRESS($C$5+$A30,K$6))</f>
        <v>0.18486</v>
      </c>
      <c r="L30" s="1" cm="1">
        <f t="array" aca="1" ref="L30" ca="1">INDIRECT("RawData!"&amp;ADDRESS($C$5+$A30,L$6))</f>
        <v>2.9229999999999999E-2</v>
      </c>
      <c r="M30" s="1" cm="1">
        <f t="array" aca="1" ref="M30" ca="1">INDIRECT("RawData!"&amp;ADDRESS($C$5+$A30,M$6))</f>
        <v>3.42</v>
      </c>
      <c r="N30" s="1" cm="1">
        <f t="array" aca="1" ref="N30" ca="1">INDIRECT("RawData!"&amp;ADDRESS($C$5+$A30,N$6))</f>
        <v>0.22231000000000001</v>
      </c>
      <c r="O30" s="1" cm="1">
        <f t="array" aca="1" ref="O30" ca="1">INDIRECT("RawData!"&amp;ADDRESS($C$5+$A30,O$6))</f>
        <v>3.5150000000000001E-2</v>
      </c>
      <c r="P30" s="1" cm="1">
        <f t="array" aca="1" ref="P30" ca="1">INDIRECT("RawData!"&amp;ADDRESS($C$5+$A30,P$6))</f>
        <v>0</v>
      </c>
      <c r="Q30" s="1" cm="1">
        <f t="array" aca="1" ref="Q30" ca="1">INDIRECT("RawData!"&amp;ADDRESS($C$5+$A30,Q$6))</f>
        <v>0</v>
      </c>
      <c r="R30" s="1" cm="1">
        <f t="array" aca="1" ref="R30" ca="1">INDIRECT("RawData!"&amp;ADDRESS($C$5+$A30,R$6))</f>
        <v>0</v>
      </c>
      <c r="S30" s="1" cm="1">
        <f t="array" aca="1" ref="S30" ca="1">INDIRECT("RawData!"&amp;ADDRESS($C$5+$A30,S$6))</f>
        <v>0</v>
      </c>
      <c r="T30" s="1" cm="1">
        <f t="array" aca="1" ref="T30" ca="1">INDIRECT("RawData!"&amp;ADDRESS($C$5+$A30,T$6))</f>
        <v>0</v>
      </c>
      <c r="U30" s="1" cm="1">
        <f t="array" aca="1" ref="U30" ca="1">INDIRECT("RawData!"&amp;ADDRESS($C$5+$A30,U$6))</f>
        <v>0</v>
      </c>
      <c r="V30" s="1" cm="1">
        <f t="array" aca="1" ref="V30" ca="1">INDIRECT("RawData!"&amp;ADDRESS($C$5+$A30,V$6))</f>
        <v>7.431</v>
      </c>
      <c r="W30" s="1" cm="1">
        <f t="array" aca="1" ref="W30" ca="1">INDIRECT("RawData!"&amp;ADDRESS($C$5+$A30,W$6))</f>
        <v>0.23708000000000001</v>
      </c>
      <c r="X30" s="1" cm="1">
        <f t="array" aca="1" ref="X30" ca="1">INDIRECT("RawData!"&amp;ADDRESS($C$5+$A30,X$6))</f>
        <v>3.7490000000000002E-2</v>
      </c>
      <c r="Y30" s="1" cm="1">
        <f t="array" aca="1" ref="Y30" ca="1">INDIRECT("RawData!"&amp;ADDRESS($C$5+$A30,Y$6))</f>
        <v>6.8659999999999997</v>
      </c>
      <c r="Z30" s="1" cm="1">
        <f t="array" aca="1" ref="Z30" ca="1">INDIRECT("RawData!"&amp;ADDRESS($C$5+$A30,Z$6))</f>
        <v>0.11289</v>
      </c>
      <c r="AA30" s="1" cm="1">
        <f t="array" aca="1" ref="AA30" ca="1">INDIRECT("RawData!"&amp;ADDRESS($C$5+$A30,AA$6))</f>
        <v>1.7850000000000001E-2</v>
      </c>
    </row>
    <row r="31" spans="1:27" x14ac:dyDescent="0.3">
      <c r="A31" s="1">
        <v>20</v>
      </c>
      <c r="C31" s="1" t="str" cm="1">
        <f t="array" aca="1" ref="C31" ca="1">INDIRECT("RawData!A"&amp;TEXT(C$5+A31,"0"))</f>
        <v>Test3/icx_w_lu2.x</v>
      </c>
      <c r="D31" s="1" cm="1">
        <f t="array" aca="1" ref="D31" ca="1">INDIRECT("RawData!"&amp;ADDRESS($C$5+$A31,D$6))</f>
        <v>7.2629999999999999</v>
      </c>
      <c r="E31" s="1" cm="1">
        <f t="array" aca="1" ref="E31" ca="1">INDIRECT("RawData!"&amp;ADDRESS($C$5+$A31,E$6))</f>
        <v>0.24091000000000001</v>
      </c>
      <c r="F31" s="1" cm="1">
        <f t="array" aca="1" ref="F31" ca="1">INDIRECT("RawData!"&amp;ADDRESS($C$5+$A31,F$6))</f>
        <v>3.8089999999999999E-2</v>
      </c>
      <c r="G31" s="1" cm="1">
        <f t="array" aca="1" ref="G31" ca="1">INDIRECT("RawData!"&amp;ADDRESS($C$5+$A31,G$6))</f>
        <v>6.9489999999999998</v>
      </c>
      <c r="H31" s="1" cm="1">
        <f t="array" aca="1" ref="H31" ca="1">INDIRECT("RawData!"&amp;ADDRESS($C$5+$A31,H$6))</f>
        <v>0.37980999999999998</v>
      </c>
      <c r="I31" s="1" cm="1">
        <f t="array" aca="1" ref="I31" ca="1">INDIRECT("RawData!"&amp;ADDRESS($C$5+$A31,I$6))</f>
        <v>6.0049999999999999E-2</v>
      </c>
      <c r="J31" s="1" cm="1">
        <f t="array" aca="1" ref="J31" ca="1">INDIRECT("RawData!"&amp;ADDRESS($C$5+$A31,J$6))</f>
        <v>3.5750000000000002</v>
      </c>
      <c r="K31" s="1" cm="1">
        <f t="array" aca="1" ref="K31" ca="1">INDIRECT("RawData!"&amp;ADDRESS($C$5+$A31,K$6))</f>
        <v>0.18429999999999999</v>
      </c>
      <c r="L31" s="1" cm="1">
        <f t="array" aca="1" ref="L31" ca="1">INDIRECT("RawData!"&amp;ADDRESS($C$5+$A31,L$6))</f>
        <v>2.9139999999999999E-2</v>
      </c>
      <c r="M31" s="1" cm="1">
        <f t="array" aca="1" ref="M31" ca="1">INDIRECT("RawData!"&amp;ADDRESS($C$5+$A31,M$6))</f>
        <v>3.5750000000000002</v>
      </c>
      <c r="N31" s="1" cm="1">
        <f t="array" aca="1" ref="N31" ca="1">INDIRECT("RawData!"&amp;ADDRESS($C$5+$A31,N$6))</f>
        <v>0.21418000000000001</v>
      </c>
      <c r="O31" s="1" cm="1">
        <f t="array" aca="1" ref="O31" ca="1">INDIRECT("RawData!"&amp;ADDRESS($C$5+$A31,O$6))</f>
        <v>3.3860000000000001E-2</v>
      </c>
      <c r="P31" s="1" cm="1">
        <f t="array" aca="1" ref="P31" ca="1">INDIRECT("RawData!"&amp;ADDRESS($C$5+$A31,P$6))</f>
        <v>0</v>
      </c>
      <c r="Q31" s="1" cm="1">
        <f t="array" aca="1" ref="Q31" ca="1">INDIRECT("RawData!"&amp;ADDRESS($C$5+$A31,Q$6))</f>
        <v>0</v>
      </c>
      <c r="R31" s="1" cm="1">
        <f t="array" aca="1" ref="R31" ca="1">INDIRECT("RawData!"&amp;ADDRESS($C$5+$A31,R$6))</f>
        <v>0</v>
      </c>
      <c r="S31" s="1" cm="1">
        <f t="array" aca="1" ref="S31" ca="1">INDIRECT("RawData!"&amp;ADDRESS($C$5+$A31,S$6))</f>
        <v>0</v>
      </c>
      <c r="T31" s="1" cm="1">
        <f t="array" aca="1" ref="T31" ca="1">INDIRECT("RawData!"&amp;ADDRESS($C$5+$A31,T$6))</f>
        <v>0</v>
      </c>
      <c r="U31" s="1" cm="1">
        <f t="array" aca="1" ref="U31" ca="1">INDIRECT("RawData!"&amp;ADDRESS($C$5+$A31,U$6))</f>
        <v>0</v>
      </c>
      <c r="V31" s="1" cm="1">
        <f t="array" aca="1" ref="V31" ca="1">INDIRECT("RawData!"&amp;ADDRESS($C$5+$A31,V$6))</f>
        <v>7.4969999999999999</v>
      </c>
      <c r="W31" s="1" cm="1">
        <f t="array" aca="1" ref="W31" ca="1">INDIRECT("RawData!"&amp;ADDRESS($C$5+$A31,W$6))</f>
        <v>0.23183000000000001</v>
      </c>
      <c r="X31" s="1" cm="1">
        <f t="array" aca="1" ref="X31" ca="1">INDIRECT("RawData!"&amp;ADDRESS($C$5+$A31,X$6))</f>
        <v>3.6659999999999998E-2</v>
      </c>
      <c r="Y31" s="1" cm="1">
        <f t="array" aca="1" ref="Y31" ca="1">INDIRECT("RawData!"&amp;ADDRESS($C$5+$A31,Y$6))</f>
        <v>6.8410000000000002</v>
      </c>
      <c r="Z31" s="1" cm="1">
        <f t="array" aca="1" ref="Z31" ca="1">INDIRECT("RawData!"&amp;ADDRESS($C$5+$A31,Z$6))</f>
        <v>0.11796</v>
      </c>
      <c r="AA31" s="1" cm="1">
        <f t="array" aca="1" ref="AA31" ca="1">INDIRECT("RawData!"&amp;ADDRESS($C$5+$A31,AA$6))</f>
        <v>1.865E-2</v>
      </c>
    </row>
    <row r="32" spans="1:27" x14ac:dyDescent="0.3">
      <c r="A32" s="1">
        <v>21</v>
      </c>
      <c r="C32" s="1" t="str" cm="1">
        <f t="array" aca="1" ref="C32" ca="1">INDIRECT("RawData!A"&amp;TEXT(C$5+A32,"0"))</f>
        <v>Test3/icx_w_lu2_o3.x</v>
      </c>
      <c r="D32" s="1" cm="1">
        <f t="array" aca="1" ref="D32" ca="1">INDIRECT("RawData!"&amp;ADDRESS($C$5+$A32,D$6))</f>
        <v>7.3170000000000002</v>
      </c>
      <c r="E32" s="1" cm="1">
        <f t="array" aca="1" ref="E32" ca="1">INDIRECT("RawData!"&amp;ADDRESS($C$5+$A32,E$6))</f>
        <v>0.25574999999999998</v>
      </c>
      <c r="F32" s="1" cm="1">
        <f t="array" aca="1" ref="F32" ca="1">INDIRECT("RawData!"&amp;ADDRESS($C$5+$A32,F$6))</f>
        <v>4.0439999999999997E-2</v>
      </c>
      <c r="G32" s="1" cm="1">
        <f t="array" aca="1" ref="G32" ca="1">INDIRECT("RawData!"&amp;ADDRESS($C$5+$A32,G$6))</f>
        <v>7.0490000000000004</v>
      </c>
      <c r="H32" s="1" cm="1">
        <f t="array" aca="1" ref="H32" ca="1">INDIRECT("RawData!"&amp;ADDRESS($C$5+$A32,H$6))</f>
        <v>0.45881</v>
      </c>
      <c r="I32" s="1" cm="1">
        <f t="array" aca="1" ref="I32" ca="1">INDIRECT("RawData!"&amp;ADDRESS($C$5+$A32,I$6))</f>
        <v>7.2539999999999993E-2</v>
      </c>
      <c r="J32" s="1" cm="1">
        <f t="array" aca="1" ref="J32" ca="1">INDIRECT("RawData!"&amp;ADDRESS($C$5+$A32,J$6))</f>
        <v>3.5390000000000001</v>
      </c>
      <c r="K32" s="1" cm="1">
        <f t="array" aca="1" ref="K32" ca="1">INDIRECT("RawData!"&amp;ADDRESS($C$5+$A32,K$6))</f>
        <v>0.15595000000000001</v>
      </c>
      <c r="L32" s="1" cm="1">
        <f t="array" aca="1" ref="L32" ca="1">INDIRECT("RawData!"&amp;ADDRESS($C$5+$A32,L$6))</f>
        <v>2.4660000000000001E-2</v>
      </c>
      <c r="M32" s="1" cm="1">
        <f t="array" aca="1" ref="M32" ca="1">INDIRECT("RawData!"&amp;ADDRESS($C$5+$A32,M$6))</f>
        <v>3.492</v>
      </c>
      <c r="N32" s="1" cm="1">
        <f t="array" aca="1" ref="N32" ca="1">INDIRECT("RawData!"&amp;ADDRESS($C$5+$A32,N$6))</f>
        <v>0.16766</v>
      </c>
      <c r="O32" s="1" cm="1">
        <f t="array" aca="1" ref="O32" ca="1">INDIRECT("RawData!"&amp;ADDRESS($C$5+$A32,O$6))</f>
        <v>2.6509999999999999E-2</v>
      </c>
      <c r="P32" s="1" cm="1">
        <f t="array" aca="1" ref="P32" ca="1">INDIRECT("RawData!"&amp;ADDRESS($C$5+$A32,P$6))</f>
        <v>0</v>
      </c>
      <c r="Q32" s="1" cm="1">
        <f t="array" aca="1" ref="Q32" ca="1">INDIRECT("RawData!"&amp;ADDRESS($C$5+$A32,Q$6))</f>
        <v>0</v>
      </c>
      <c r="R32" s="1" cm="1">
        <f t="array" aca="1" ref="R32" ca="1">INDIRECT("RawData!"&amp;ADDRESS($C$5+$A32,R$6))</f>
        <v>0</v>
      </c>
      <c r="S32" s="1" cm="1">
        <f t="array" aca="1" ref="S32" ca="1">INDIRECT("RawData!"&amp;ADDRESS($C$5+$A32,S$6))</f>
        <v>0</v>
      </c>
      <c r="T32" s="1" cm="1">
        <f t="array" aca="1" ref="T32" ca="1">INDIRECT("RawData!"&amp;ADDRESS($C$5+$A32,T$6))</f>
        <v>0</v>
      </c>
      <c r="U32" s="1" cm="1">
        <f t="array" aca="1" ref="U32" ca="1">INDIRECT("RawData!"&amp;ADDRESS($C$5+$A32,U$6))</f>
        <v>0</v>
      </c>
      <c r="V32" s="1" cm="1">
        <f t="array" aca="1" ref="V32" ca="1">INDIRECT("RawData!"&amp;ADDRESS($C$5+$A32,V$6))</f>
        <v>7.49</v>
      </c>
      <c r="W32" s="1" cm="1">
        <f t="array" aca="1" ref="W32" ca="1">INDIRECT("RawData!"&amp;ADDRESS($C$5+$A32,W$6))</f>
        <v>0.25230999999999998</v>
      </c>
      <c r="X32" s="1" cm="1">
        <f t="array" aca="1" ref="X32" ca="1">INDIRECT("RawData!"&amp;ADDRESS($C$5+$A32,X$6))</f>
        <v>3.9890000000000002E-2</v>
      </c>
      <c r="Y32" s="1" cm="1">
        <f t="array" aca="1" ref="Y32" ca="1">INDIRECT("RawData!"&amp;ADDRESS($C$5+$A32,Y$6))</f>
        <v>6.8780000000000001</v>
      </c>
      <c r="Z32" s="1" cm="1">
        <f t="array" aca="1" ref="Z32" ca="1">INDIRECT("RawData!"&amp;ADDRESS($C$5+$A32,Z$6))</f>
        <v>0.13441</v>
      </c>
      <c r="AA32" s="1" cm="1">
        <f t="array" aca="1" ref="AA32" ca="1">INDIRECT("RawData!"&amp;ADDRESS($C$5+$A32,AA$6))</f>
        <v>2.1250000000000002E-2</v>
      </c>
    </row>
    <row r="33" spans="1:27" x14ac:dyDescent="0.3">
      <c r="A33" s="1">
        <v>22</v>
      </c>
      <c r="C33" s="1" t="str" cm="1">
        <f t="array" aca="1" ref="C33" ca="1">INDIRECT("RawData!A"&amp;TEXT(C$5+A33,"0"))</f>
        <v>Test3/icx_w_lu4.x</v>
      </c>
      <c r="D33" s="1" cm="1">
        <f t="array" aca="1" ref="D33" ca="1">INDIRECT("RawData!"&amp;ADDRESS($C$5+$A33,D$6))</f>
        <v>7.4859999999999998</v>
      </c>
      <c r="E33" s="1" cm="1">
        <f t="array" aca="1" ref="E33" ca="1">INDIRECT("RawData!"&amp;ADDRESS($C$5+$A33,E$6))</f>
        <v>0.32862999999999998</v>
      </c>
      <c r="F33" s="1" cm="1">
        <f t="array" aca="1" ref="F33" ca="1">INDIRECT("RawData!"&amp;ADDRESS($C$5+$A33,F$6))</f>
        <v>5.1959999999999999E-2</v>
      </c>
      <c r="G33" s="1" cm="1">
        <f t="array" aca="1" ref="G33" ca="1">INDIRECT("RawData!"&amp;ADDRESS($C$5+$A33,G$6))</f>
        <v>6.9480000000000004</v>
      </c>
      <c r="H33" s="1" cm="1">
        <f t="array" aca="1" ref="H33" ca="1">INDIRECT("RawData!"&amp;ADDRESS($C$5+$A33,H$6))</f>
        <v>0.44613999999999998</v>
      </c>
      <c r="I33" s="1" cm="1">
        <f t="array" aca="1" ref="I33" ca="1">INDIRECT("RawData!"&amp;ADDRESS($C$5+$A33,I$6))</f>
        <v>7.0540000000000005E-2</v>
      </c>
      <c r="J33" s="1" cm="1">
        <f t="array" aca="1" ref="J33" ca="1">INDIRECT("RawData!"&amp;ADDRESS($C$5+$A33,J$6))</f>
        <v>3.4860000000000002</v>
      </c>
      <c r="K33" s="1" cm="1">
        <f t="array" aca="1" ref="K33" ca="1">INDIRECT("RawData!"&amp;ADDRESS($C$5+$A33,K$6))</f>
        <v>0.1701</v>
      </c>
      <c r="L33" s="1" cm="1">
        <f t="array" aca="1" ref="L33" ca="1">INDIRECT("RawData!"&amp;ADDRESS($C$5+$A33,L$6))</f>
        <v>2.6890000000000001E-2</v>
      </c>
      <c r="M33" s="1" cm="1">
        <f t="array" aca="1" ref="M33" ca="1">INDIRECT("RawData!"&amp;ADDRESS($C$5+$A33,M$6))</f>
        <v>3.4670000000000001</v>
      </c>
      <c r="N33" s="1" cm="1">
        <f t="array" aca="1" ref="N33" ca="1">INDIRECT("RawData!"&amp;ADDRESS($C$5+$A33,N$6))</f>
        <v>0.21106</v>
      </c>
      <c r="O33" s="1" cm="1">
        <f t="array" aca="1" ref="O33" ca="1">INDIRECT("RawData!"&amp;ADDRESS($C$5+$A33,O$6))</f>
        <v>3.3369999999999997E-2</v>
      </c>
      <c r="P33" s="1" cm="1">
        <f t="array" aca="1" ref="P33" ca="1">INDIRECT("RawData!"&amp;ADDRESS($C$5+$A33,P$6))</f>
        <v>0</v>
      </c>
      <c r="Q33" s="1" cm="1">
        <f t="array" aca="1" ref="Q33" ca="1">INDIRECT("RawData!"&amp;ADDRESS($C$5+$A33,Q$6))</f>
        <v>0</v>
      </c>
      <c r="R33" s="1" cm="1">
        <f t="array" aca="1" ref="R33" ca="1">INDIRECT("RawData!"&amp;ADDRESS($C$5+$A33,R$6))</f>
        <v>0</v>
      </c>
      <c r="S33" s="1" cm="1">
        <f t="array" aca="1" ref="S33" ca="1">INDIRECT("RawData!"&amp;ADDRESS($C$5+$A33,S$6))</f>
        <v>0</v>
      </c>
      <c r="T33" s="1" cm="1">
        <f t="array" aca="1" ref="T33" ca="1">INDIRECT("RawData!"&amp;ADDRESS($C$5+$A33,T$6))</f>
        <v>0</v>
      </c>
      <c r="U33" s="1" cm="1">
        <f t="array" aca="1" ref="U33" ca="1">INDIRECT("RawData!"&amp;ADDRESS($C$5+$A33,U$6))</f>
        <v>0</v>
      </c>
      <c r="V33" s="1" cm="1">
        <f t="array" aca="1" ref="V33" ca="1">INDIRECT("RawData!"&amp;ADDRESS($C$5+$A33,V$6))</f>
        <v>7.46</v>
      </c>
      <c r="W33" s="1" cm="1">
        <f t="array" aca="1" ref="W33" ca="1">INDIRECT("RawData!"&amp;ADDRESS($C$5+$A33,W$6))</f>
        <v>0.26085000000000003</v>
      </c>
      <c r="X33" s="1" cm="1">
        <f t="array" aca="1" ref="X33" ca="1">INDIRECT("RawData!"&amp;ADDRESS($C$5+$A33,X$6))</f>
        <v>4.1239999999999999E-2</v>
      </c>
      <c r="Y33" s="1" cm="1">
        <f t="array" aca="1" ref="Y33" ca="1">INDIRECT("RawData!"&amp;ADDRESS($C$5+$A33,Y$6))</f>
        <v>6.835</v>
      </c>
      <c r="Z33" s="1" cm="1">
        <f t="array" aca="1" ref="Z33" ca="1">INDIRECT("RawData!"&amp;ADDRESS($C$5+$A33,Z$6))</f>
        <v>0.12207</v>
      </c>
      <c r="AA33" s="1" cm="1">
        <f t="array" aca="1" ref="AA33" ca="1">INDIRECT("RawData!"&amp;ADDRESS($C$5+$A33,AA$6))</f>
        <v>1.9300000000000001E-2</v>
      </c>
    </row>
    <row r="34" spans="1:27" x14ac:dyDescent="0.3">
      <c r="A34" s="1">
        <v>23</v>
      </c>
      <c r="C34" s="1" t="str" cm="1">
        <f t="array" aca="1" ref="C34" ca="1">INDIRECT("RawData!A"&amp;TEXT(C$5+A34,"0"))</f>
        <v>Test3/icx_w_lu8.x</v>
      </c>
      <c r="D34" s="1" cm="1">
        <f t="array" aca="1" ref="D34" ca="1">INDIRECT("RawData!"&amp;ADDRESS($C$5+$A34,D$6))</f>
        <v>8.56</v>
      </c>
      <c r="E34" s="1" cm="1">
        <f t="array" aca="1" ref="E34" ca="1">INDIRECT("RawData!"&amp;ADDRESS($C$5+$A34,E$6))</f>
        <v>0.27409</v>
      </c>
      <c r="F34" s="1" cm="1">
        <f t="array" aca="1" ref="F34" ca="1">INDIRECT("RawData!"&amp;ADDRESS($C$5+$A34,F$6))</f>
        <v>4.3339999999999997E-2</v>
      </c>
      <c r="G34" s="1" cm="1">
        <f t="array" aca="1" ref="G34" ca="1">INDIRECT("RawData!"&amp;ADDRESS($C$5+$A34,G$6))</f>
        <v>9.9320000000000004</v>
      </c>
      <c r="H34" s="1" cm="1">
        <f t="array" aca="1" ref="H34" ca="1">INDIRECT("RawData!"&amp;ADDRESS($C$5+$A34,H$6))</f>
        <v>0.27672999999999998</v>
      </c>
      <c r="I34" s="1" cm="1">
        <f t="array" aca="1" ref="I34" ca="1">INDIRECT("RawData!"&amp;ADDRESS($C$5+$A34,I$6))</f>
        <v>4.376E-2</v>
      </c>
      <c r="J34" s="1" cm="1">
        <f t="array" aca="1" ref="J34" ca="1">INDIRECT("RawData!"&amp;ADDRESS($C$5+$A34,J$6))</f>
        <v>5.5129999999999999</v>
      </c>
      <c r="K34" s="1" cm="1">
        <f t="array" aca="1" ref="K34" ca="1">INDIRECT("RawData!"&amp;ADDRESS($C$5+$A34,K$6))</f>
        <v>0.10836</v>
      </c>
      <c r="L34" s="1" cm="1">
        <f t="array" aca="1" ref="L34" ca="1">INDIRECT("RawData!"&amp;ADDRESS($C$5+$A34,L$6))</f>
        <v>1.7129999999999999E-2</v>
      </c>
      <c r="M34" s="1" cm="1">
        <f t="array" aca="1" ref="M34" ca="1">INDIRECT("RawData!"&amp;ADDRESS($C$5+$A34,M$6))</f>
        <v>3.5350000000000001</v>
      </c>
      <c r="N34" s="1" cm="1">
        <f t="array" aca="1" ref="N34" ca="1">INDIRECT("RawData!"&amp;ADDRESS($C$5+$A34,N$6))</f>
        <v>0.17560999999999999</v>
      </c>
      <c r="O34" s="1" cm="1">
        <f t="array" aca="1" ref="O34" ca="1">INDIRECT("RawData!"&amp;ADDRESS($C$5+$A34,O$6))</f>
        <v>2.777E-2</v>
      </c>
      <c r="P34" s="1" cm="1">
        <f t="array" aca="1" ref="P34" ca="1">INDIRECT("RawData!"&amp;ADDRESS($C$5+$A34,P$6))</f>
        <v>0</v>
      </c>
      <c r="Q34" s="1" cm="1">
        <f t="array" aca="1" ref="Q34" ca="1">INDIRECT("RawData!"&amp;ADDRESS($C$5+$A34,Q$6))</f>
        <v>0</v>
      </c>
      <c r="R34" s="1" cm="1">
        <f t="array" aca="1" ref="R34" ca="1">INDIRECT("RawData!"&amp;ADDRESS($C$5+$A34,R$6))</f>
        <v>0</v>
      </c>
      <c r="S34" s="1" cm="1">
        <f t="array" aca="1" ref="S34" ca="1">INDIRECT("RawData!"&amp;ADDRESS($C$5+$A34,S$6))</f>
        <v>0</v>
      </c>
      <c r="T34" s="1" cm="1">
        <f t="array" aca="1" ref="T34" ca="1">INDIRECT("RawData!"&amp;ADDRESS($C$5+$A34,T$6))</f>
        <v>0</v>
      </c>
      <c r="U34" s="1" cm="1">
        <f t="array" aca="1" ref="U34" ca="1">INDIRECT("RawData!"&amp;ADDRESS($C$5+$A34,U$6))</f>
        <v>0</v>
      </c>
      <c r="V34" s="1" cm="1">
        <f t="array" aca="1" ref="V34" ca="1">INDIRECT("RawData!"&amp;ADDRESS($C$5+$A34,V$6))</f>
        <v>9.0060000000000002</v>
      </c>
      <c r="W34" s="1" cm="1">
        <f t="array" aca="1" ref="W34" ca="1">INDIRECT("RawData!"&amp;ADDRESS($C$5+$A34,W$6))</f>
        <v>0.26857999999999999</v>
      </c>
      <c r="X34" s="1" cm="1">
        <f t="array" aca="1" ref="X34" ca="1">INDIRECT("RawData!"&amp;ADDRESS($C$5+$A34,X$6))</f>
        <v>4.2470000000000001E-2</v>
      </c>
      <c r="Y34" s="1" cm="1">
        <f t="array" aca="1" ref="Y34" ca="1">INDIRECT("RawData!"&amp;ADDRESS($C$5+$A34,Y$6))</f>
        <v>11.977</v>
      </c>
      <c r="Z34" s="1" cm="1">
        <f t="array" aca="1" ref="Z34" ca="1">INDIRECT("RawData!"&amp;ADDRESS($C$5+$A34,Z$6))</f>
        <v>6.5129999999999993E-2</v>
      </c>
      <c r="AA34" s="1" cm="1">
        <f t="array" aca="1" ref="AA34" ca="1">INDIRECT("RawData!"&amp;ADDRESS($C$5+$A34,AA$6))</f>
        <v>1.03E-2</v>
      </c>
    </row>
    <row r="35" spans="1:27" x14ac:dyDescent="0.3">
      <c r="A35" s="1">
        <v>24</v>
      </c>
    </row>
    <row r="36" spans="1:27" x14ac:dyDescent="0.3">
      <c r="A36" s="1">
        <v>1</v>
      </c>
      <c r="B36" s="1">
        <v>2</v>
      </c>
      <c r="C36" s="1">
        <v>3</v>
      </c>
      <c r="D36" s="1">
        <v>4</v>
      </c>
      <c r="E36" s="1">
        <v>5</v>
      </c>
      <c r="F36" s="1">
        <v>6</v>
      </c>
      <c r="G36" s="1">
        <v>7</v>
      </c>
      <c r="H36" s="1">
        <v>8</v>
      </c>
      <c r="I36" s="1">
        <v>9</v>
      </c>
      <c r="J36" s="1">
        <v>10</v>
      </c>
      <c r="K36" s="1">
        <v>11</v>
      </c>
      <c r="L36" s="1">
        <v>12</v>
      </c>
      <c r="M36" s="1">
        <v>13</v>
      </c>
      <c r="N36" s="1">
        <v>14</v>
      </c>
      <c r="O36" s="1">
        <v>15</v>
      </c>
      <c r="P36" s="1">
        <v>16</v>
      </c>
      <c r="Q36" s="1">
        <v>17</v>
      </c>
      <c r="R36" s="1">
        <v>18</v>
      </c>
      <c r="S36" s="1">
        <v>19</v>
      </c>
      <c r="T36" s="1">
        <v>20</v>
      </c>
      <c r="U36" s="1">
        <v>21</v>
      </c>
      <c r="V36" s="1">
        <v>22</v>
      </c>
      <c r="W36" s="1">
        <v>23</v>
      </c>
      <c r="X36" s="1">
        <v>24</v>
      </c>
      <c r="Y36" s="1">
        <v>25</v>
      </c>
      <c r="Z36" s="1">
        <v>26</v>
      </c>
      <c r="AA36" s="1">
        <v>27</v>
      </c>
    </row>
    <row r="37" spans="1:27" ht="100" x14ac:dyDescent="0.3">
      <c r="C37" s="4" t="s">
        <v>140</v>
      </c>
      <c r="D37" s="3" t="s">
        <v>137</v>
      </c>
      <c r="G37" s="3" t="s">
        <v>143</v>
      </c>
      <c r="J37" s="3" t="s">
        <v>138</v>
      </c>
      <c r="M37" s="3" t="s">
        <v>144</v>
      </c>
      <c r="P37" s="3" t="s">
        <v>139</v>
      </c>
      <c r="S37" s="3" t="s">
        <v>145</v>
      </c>
      <c r="V37" s="3" t="s">
        <v>147</v>
      </c>
      <c r="Y37" s="3" t="s">
        <v>146</v>
      </c>
    </row>
    <row r="38" spans="1:27" x14ac:dyDescent="0.3">
      <c r="A38" s="1">
        <v>0</v>
      </c>
      <c r="C38" s="1" t="str">
        <f ca="1">MID(C11,FIND("/",C11)+1,1000)</f>
        <v>gfortran.x</v>
      </c>
      <c r="D38" s="1">
        <f ca="1">D11</f>
        <v>8.4890000000000008</v>
      </c>
      <c r="E38" s="1">
        <f ca="1">IF(D11=0,0,E11*100/D11)</f>
        <v>3.6572034397455533</v>
      </c>
      <c r="F38" s="1">
        <f ca="1">IF(D11=0,0,F11*100/D11)</f>
        <v>0.57827777123336077</v>
      </c>
      <c r="G38" s="1">
        <f t="shared" ref="G38:AA53" ca="1" si="0">G11</f>
        <v>8.5739999999999998</v>
      </c>
      <c r="H38" s="1">
        <f t="shared" ref="H38:AA53" ca="1" si="1">IF(G11=0,0,H11*100/G11)</f>
        <v>4.5937718684394682</v>
      </c>
      <c r="I38" s="1">
        <f t="shared" ref="I38:I61" ca="1" si="2">IF(G11=0,0,I11*100/G11)</f>
        <v>0.72638208537438764</v>
      </c>
      <c r="J38" s="1">
        <f t="shared" ref="J38:AA38" ca="1" si="3">J11</f>
        <v>5.508</v>
      </c>
      <c r="K38" s="1">
        <f t="shared" ref="K38:AA38" ca="1" si="4">IF(J11=0,0,K11*100/J11)</f>
        <v>2.2316630355846043</v>
      </c>
      <c r="L38" s="1">
        <f t="shared" ref="L38:L61" ca="1" si="5">IF(J11=0,0,L11*100/J11)</f>
        <v>0.3527596223674655</v>
      </c>
      <c r="M38" s="1">
        <f t="shared" ref="M38:AA38" ca="1" si="6">M11</f>
        <v>5.484</v>
      </c>
      <c r="N38" s="1">
        <f t="shared" ref="N38:AA38" ca="1" si="7">IF(M11=0,0,N11*100/M11)</f>
        <v>1.5782275711159737</v>
      </c>
      <c r="O38" s="1">
        <f t="shared" ref="O38:O61" ca="1" si="8">IF(M11=0,0,O11*100/M11)</f>
        <v>0.24945295404814002</v>
      </c>
      <c r="P38" s="1">
        <f t="shared" ref="P38:AA38" ca="1" si="9">P11</f>
        <v>16.385999999999999</v>
      </c>
      <c r="Q38" s="1">
        <f t="shared" ref="Q38:AA38" ca="1" si="10">IF(P11=0,0,Q11*100/P11)</f>
        <v>7.068412059074821</v>
      </c>
      <c r="R38" s="1">
        <f t="shared" ref="R38:R61" ca="1" si="11">IF(P11=0,0,R11*100/P11)</f>
        <v>1.1176003905773222</v>
      </c>
      <c r="S38" s="1">
        <f t="shared" ref="S38:AA38" ca="1" si="12">S11</f>
        <v>16.646999999999998</v>
      </c>
      <c r="T38" s="1">
        <f t="shared" ref="T38:AA38" ca="1" si="13">IF(S11=0,0,T11*100/S11)</f>
        <v>6.5669489998197879</v>
      </c>
      <c r="U38" s="1">
        <f t="shared" ref="U38:U61" ca="1" si="14">IF(S11=0,0,U11*100/S11)</f>
        <v>1.0383252237640417</v>
      </c>
      <c r="V38" s="1">
        <f t="shared" ref="V38:AA38" ca="1" si="15">V11</f>
        <v>8.8680000000000003</v>
      </c>
      <c r="W38" s="1">
        <f t="shared" ref="W38:AA38" ca="1" si="16">IF(V11=0,0,W11*100/V11)</f>
        <v>2.8491204330175912</v>
      </c>
      <c r="X38" s="1">
        <f t="shared" ref="X38:X61" ca="1" si="17">IF(V11=0,0,X11*100/V11)</f>
        <v>0.45049616599007669</v>
      </c>
      <c r="Y38" s="1">
        <f t="shared" ref="Y38:AA38" ca="1" si="18">Y11</f>
        <v>11.762</v>
      </c>
      <c r="Z38" s="1">
        <f t="shared" ref="Z38:AA38" ca="1" si="19">IF(Y11=0,0,Z11*100/Y11)</f>
        <v>0.77461316102703615</v>
      </c>
      <c r="AA38" s="1">
        <f t="shared" ref="AA38:AA61" ca="1" si="20">IF(Y11=0,0,AA11*100/Y11)</f>
        <v>0.12251317803094709</v>
      </c>
    </row>
    <row r="39" spans="1:27" x14ac:dyDescent="0.3">
      <c r="A39" s="1">
        <v>1</v>
      </c>
      <c r="C39" s="1" t="str">
        <f t="shared" ref="C39:C61" ca="1" si="21">MID(C12,FIND("/",C12)+1,1000)</f>
        <v>gfortran_o3.x</v>
      </c>
      <c r="D39" s="1">
        <f t="shared" ref="D39:D61" ca="1" si="22">D12</f>
        <v>8.4459999999999997</v>
      </c>
      <c r="E39" s="1">
        <f t="shared" ref="E39:E61" ca="1" si="23">IF(D12=0,0,E12*100/D12)</f>
        <v>3.7762254321572342</v>
      </c>
      <c r="F39" s="1">
        <f t="shared" ref="F39:F61" ca="1" si="24">IF(D12=0,0,F12*100/D12)</f>
        <v>0.59708737864077677</v>
      </c>
      <c r="G39" s="1">
        <f t="shared" ca="1" si="0"/>
        <v>8.5760000000000005</v>
      </c>
      <c r="H39" s="1">
        <f t="shared" ca="1" si="1"/>
        <v>5.6016791044776113</v>
      </c>
      <c r="I39" s="1">
        <f t="shared" ca="1" si="2"/>
        <v>0.88572761194029848</v>
      </c>
      <c r="J39" s="1">
        <f t="shared" ca="1" si="0"/>
        <v>5.5170000000000003</v>
      </c>
      <c r="K39" s="1">
        <f t="shared" ca="1" si="1"/>
        <v>2.7600145006344023</v>
      </c>
      <c r="L39" s="1">
        <f t="shared" ca="1" si="5"/>
        <v>0.43646909552292906</v>
      </c>
      <c r="M39" s="1">
        <f t="shared" ca="1" si="0"/>
        <v>5.617</v>
      </c>
      <c r="N39" s="1">
        <f t="shared" ca="1" si="1"/>
        <v>2.1454513085276838</v>
      </c>
      <c r="O39" s="1">
        <f t="shared" ca="1" si="8"/>
        <v>0.33914901192807551</v>
      </c>
      <c r="P39" s="1">
        <f t="shared" ca="1" si="0"/>
        <v>16.292999999999999</v>
      </c>
      <c r="Q39" s="1">
        <f t="shared" ca="1" si="1"/>
        <v>5.1597004848708039</v>
      </c>
      <c r="R39" s="1">
        <f t="shared" ca="1" si="11"/>
        <v>0.81581047075431179</v>
      </c>
      <c r="S39" s="1">
        <f t="shared" ca="1" si="0"/>
        <v>15.878</v>
      </c>
      <c r="T39" s="1">
        <f t="shared" ca="1" si="1"/>
        <v>5.6287945585086279</v>
      </c>
      <c r="U39" s="1">
        <f t="shared" ca="1" si="14"/>
        <v>0.88997354830583186</v>
      </c>
      <c r="V39" s="1">
        <f t="shared" ca="1" si="0"/>
        <v>8.4779999999999998</v>
      </c>
      <c r="W39" s="1">
        <f t="shared" ca="1" si="1"/>
        <v>2.7245812691672566</v>
      </c>
      <c r="X39" s="1">
        <f t="shared" ca="1" si="17"/>
        <v>0.43076197216324602</v>
      </c>
      <c r="Y39" s="1">
        <f t="shared" ca="1" si="0"/>
        <v>8.6660000000000004</v>
      </c>
      <c r="Z39" s="1">
        <f t="shared" ca="1" si="1"/>
        <v>1.7274405723517194</v>
      </c>
      <c r="AA39" s="1">
        <f t="shared" ca="1" si="20"/>
        <v>0.27313639510731591</v>
      </c>
    </row>
    <row r="40" spans="1:27" x14ac:dyDescent="0.3">
      <c r="A40" s="1">
        <v>2</v>
      </c>
      <c r="C40" s="1" t="str">
        <f t="shared" ca="1" si="21"/>
        <v>gfortran_w_lu2.x</v>
      </c>
      <c r="D40" s="1">
        <f t="shared" ca="1" si="22"/>
        <v>8.3719999999999999</v>
      </c>
      <c r="E40" s="1">
        <f t="shared" ca="1" si="23"/>
        <v>2.7233635929288105</v>
      </c>
      <c r="F40" s="1">
        <f t="shared" ca="1" si="24"/>
        <v>0.4306020066889632</v>
      </c>
      <c r="G40" s="1">
        <f t="shared" ca="1" si="0"/>
        <v>8.4809999999999999</v>
      </c>
      <c r="H40" s="1">
        <f t="shared" ca="1" si="1"/>
        <v>4.5101992689541337</v>
      </c>
      <c r="I40" s="1">
        <f t="shared" ca="1" si="2"/>
        <v>0.7131234524230633</v>
      </c>
      <c r="J40" s="1">
        <f t="shared" ca="1" si="0"/>
        <v>5.4560000000000004</v>
      </c>
      <c r="K40" s="1">
        <f t="shared" ca="1" si="1"/>
        <v>1.8596041055718473</v>
      </c>
      <c r="L40" s="1">
        <f t="shared" ca="1" si="5"/>
        <v>0.29398826979472137</v>
      </c>
      <c r="M40" s="1">
        <f t="shared" ca="1" si="0"/>
        <v>5.4859999999999998</v>
      </c>
      <c r="N40" s="1">
        <f t="shared" ca="1" si="1"/>
        <v>2.0144002916514765</v>
      </c>
      <c r="O40" s="1">
        <f t="shared" ca="1" si="8"/>
        <v>0.31844695588771416</v>
      </c>
      <c r="P40" s="1">
        <f t="shared" ca="1" si="0"/>
        <v>16.105</v>
      </c>
      <c r="Q40" s="1">
        <f t="shared" ca="1" si="1"/>
        <v>5.6036013660353934</v>
      </c>
      <c r="R40" s="1">
        <f t="shared" ca="1" si="11"/>
        <v>0.88599813722446452</v>
      </c>
      <c r="S40" s="1">
        <f t="shared" ca="1" si="0"/>
        <v>17.117999999999999</v>
      </c>
      <c r="T40" s="1">
        <f t="shared" ca="1" si="1"/>
        <v>11.508178525528685</v>
      </c>
      <c r="U40" s="1">
        <f t="shared" ca="1" si="14"/>
        <v>1.8196050940530435</v>
      </c>
      <c r="V40" s="1">
        <f t="shared" ca="1" si="0"/>
        <v>8.5050000000000008</v>
      </c>
      <c r="W40" s="1">
        <f t="shared" ca="1" si="1"/>
        <v>3.0788947677836562</v>
      </c>
      <c r="X40" s="1">
        <f t="shared" ca="1" si="17"/>
        <v>0.48677248677248669</v>
      </c>
      <c r="Y40" s="1">
        <f t="shared" ca="1" si="0"/>
        <v>8.5079999999999991</v>
      </c>
      <c r="Z40" s="1">
        <f t="shared" ca="1" si="1"/>
        <v>2.4587447108603664</v>
      </c>
      <c r="AA40" s="1">
        <f t="shared" ca="1" si="20"/>
        <v>0.38881053126469206</v>
      </c>
    </row>
    <row r="41" spans="1:27" x14ac:dyDescent="0.3">
      <c r="A41" s="1">
        <v>3</v>
      </c>
      <c r="C41" s="1" t="str">
        <f t="shared" ca="1" si="21"/>
        <v>gfortran_w_lu2_o3.x</v>
      </c>
      <c r="D41" s="1">
        <f t="shared" ca="1" si="22"/>
        <v>8.6020000000000003</v>
      </c>
      <c r="E41" s="1">
        <f t="shared" ca="1" si="23"/>
        <v>4.2413392234364098</v>
      </c>
      <c r="F41" s="1">
        <f t="shared" ca="1" si="24"/>
        <v>0.67065798651476405</v>
      </c>
      <c r="G41" s="1">
        <f t="shared" ca="1" si="0"/>
        <v>8.423</v>
      </c>
      <c r="H41" s="1">
        <f t="shared" ca="1" si="1"/>
        <v>4.6503621037635048</v>
      </c>
      <c r="I41" s="1">
        <f t="shared" ca="1" si="2"/>
        <v>0.73524872373263683</v>
      </c>
      <c r="J41" s="1">
        <f t="shared" ca="1" si="0"/>
        <v>5.46</v>
      </c>
      <c r="K41" s="1">
        <f t="shared" ca="1" si="1"/>
        <v>1.6168498168498167</v>
      </c>
      <c r="L41" s="1">
        <f t="shared" ca="1" si="5"/>
        <v>0.25567765567765566</v>
      </c>
      <c r="M41" s="1">
        <f t="shared" ca="1" si="0"/>
        <v>5.6</v>
      </c>
      <c r="N41" s="1">
        <f t="shared" ca="1" si="1"/>
        <v>2.0085714285714285</v>
      </c>
      <c r="O41" s="1">
        <f t="shared" ca="1" si="8"/>
        <v>0.31767857142857142</v>
      </c>
      <c r="P41" s="1">
        <f t="shared" ca="1" si="0"/>
        <v>16.638000000000002</v>
      </c>
      <c r="Q41" s="1">
        <f t="shared" ca="1" si="1"/>
        <v>6.8233561726169007</v>
      </c>
      <c r="R41" s="1">
        <f t="shared" ca="1" si="11"/>
        <v>1.0788556316865006</v>
      </c>
      <c r="S41" s="1">
        <f t="shared" ca="1" si="0"/>
        <v>15.162000000000001</v>
      </c>
      <c r="T41" s="1">
        <f t="shared" ca="1" si="1"/>
        <v>8.1987204854240865</v>
      </c>
      <c r="U41" s="1">
        <f t="shared" ca="1" si="14"/>
        <v>1.2963329376071759</v>
      </c>
      <c r="V41" s="1">
        <f t="shared" ca="1" si="0"/>
        <v>8.5139999999999993</v>
      </c>
      <c r="W41" s="1">
        <f t="shared" ca="1" si="1"/>
        <v>2.6590321822879965</v>
      </c>
      <c r="X41" s="1">
        <f t="shared" ca="1" si="17"/>
        <v>0.4204839088560019</v>
      </c>
      <c r="Y41" s="1">
        <f t="shared" ca="1" si="0"/>
        <v>8.6880000000000006</v>
      </c>
      <c r="Z41" s="1">
        <f t="shared" ca="1" si="1"/>
        <v>2.0804558011049723</v>
      </c>
      <c r="AA41" s="1">
        <f t="shared" ca="1" si="20"/>
        <v>0.32895948434622468</v>
      </c>
    </row>
    <row r="42" spans="1:27" x14ac:dyDescent="0.3">
      <c r="A42" s="1">
        <v>4</v>
      </c>
      <c r="C42" s="1" t="str">
        <f t="shared" ca="1" si="21"/>
        <v>gfortran_w_lu4.x</v>
      </c>
      <c r="D42" s="1">
        <f t="shared" ca="1" si="22"/>
        <v>8.4909999999999997</v>
      </c>
      <c r="E42" s="1">
        <f t="shared" ca="1" si="23"/>
        <v>4.4762689906960311</v>
      </c>
      <c r="F42" s="1">
        <f t="shared" ca="1" si="24"/>
        <v>0.70780826757743498</v>
      </c>
      <c r="G42" s="1">
        <f t="shared" ca="1" si="0"/>
        <v>8.468</v>
      </c>
      <c r="H42" s="1">
        <f t="shared" ca="1" si="1"/>
        <v>4.6966225791213985</v>
      </c>
      <c r="I42" s="1">
        <f t="shared" ca="1" si="2"/>
        <v>0.74256022673594713</v>
      </c>
      <c r="J42" s="1">
        <f t="shared" ca="1" si="0"/>
        <v>5.5039999999999996</v>
      </c>
      <c r="K42" s="1">
        <f t="shared" ca="1" si="1"/>
        <v>2.0485101744186047</v>
      </c>
      <c r="L42" s="1">
        <f t="shared" ca="1" si="5"/>
        <v>0.32394622093023256</v>
      </c>
      <c r="M42" s="1">
        <f t="shared" ca="1" si="0"/>
        <v>5.46</v>
      </c>
      <c r="N42" s="1">
        <f t="shared" ca="1" si="1"/>
        <v>0.84615384615384615</v>
      </c>
      <c r="O42" s="1">
        <f t="shared" ca="1" si="8"/>
        <v>0.1336996336996337</v>
      </c>
      <c r="P42" s="1">
        <f t="shared" ca="1" si="0"/>
        <v>13.443</v>
      </c>
      <c r="Q42" s="1">
        <f t="shared" ca="1" si="1"/>
        <v>8.370601800193409</v>
      </c>
      <c r="R42" s="1">
        <f t="shared" ca="1" si="11"/>
        <v>1.3235140965558283</v>
      </c>
      <c r="S42" s="1">
        <f t="shared" ca="1" si="0"/>
        <v>11.683999999999999</v>
      </c>
      <c r="T42" s="1">
        <f t="shared" ca="1" si="1"/>
        <v>5.0638479972612123</v>
      </c>
      <c r="U42" s="1">
        <f t="shared" ca="1" si="14"/>
        <v>0.80066757959602874</v>
      </c>
      <c r="V42" s="1">
        <f t="shared" ca="1" si="0"/>
        <v>8.1929999999999996</v>
      </c>
      <c r="W42" s="1">
        <f t="shared" ca="1" si="1"/>
        <v>3.8918589039423899</v>
      </c>
      <c r="X42" s="1">
        <f t="shared" ca="1" si="17"/>
        <v>0.61540339314048575</v>
      </c>
      <c r="Y42" s="1">
        <f t="shared" ca="1" si="0"/>
        <v>8.6769999999999996</v>
      </c>
      <c r="Z42" s="1">
        <f t="shared" ca="1" si="1"/>
        <v>3.5529560908147979</v>
      </c>
      <c r="AA42" s="1">
        <f t="shared" ca="1" si="20"/>
        <v>0.56171487841419843</v>
      </c>
    </row>
    <row r="43" spans="1:27" x14ac:dyDescent="0.3">
      <c r="A43" s="1">
        <v>5</v>
      </c>
      <c r="C43" s="1" t="str">
        <f t="shared" ca="1" si="21"/>
        <v>gfortran_w_lu8.x</v>
      </c>
      <c r="D43" s="1">
        <f t="shared" ca="1" si="22"/>
        <v>8.4960000000000004</v>
      </c>
      <c r="E43" s="1">
        <f t="shared" ca="1" si="23"/>
        <v>5.0310734463276834</v>
      </c>
      <c r="F43" s="1">
        <f t="shared" ca="1" si="24"/>
        <v>0.7954331450094162</v>
      </c>
      <c r="G43" s="1">
        <f t="shared" ca="1" si="0"/>
        <v>8.4789999999999992</v>
      </c>
      <c r="H43" s="1">
        <f t="shared" ca="1" si="1"/>
        <v>6.1272555725911086</v>
      </c>
      <c r="I43" s="1">
        <f t="shared" ca="1" si="2"/>
        <v>0.96874631442387082</v>
      </c>
      <c r="J43" s="1">
        <f t="shared" ca="1" si="0"/>
        <v>5.4480000000000004</v>
      </c>
      <c r="K43" s="1">
        <f t="shared" ca="1" si="1"/>
        <v>0.89519089574155641</v>
      </c>
      <c r="L43" s="1">
        <f t="shared" ca="1" si="5"/>
        <v>0.14151982378854625</v>
      </c>
      <c r="M43" s="1">
        <f t="shared" ca="1" si="0"/>
        <v>5.5869999999999997</v>
      </c>
      <c r="N43" s="1">
        <f t="shared" ca="1" si="1"/>
        <v>1.9266153570789333</v>
      </c>
      <c r="O43" s="1">
        <f t="shared" ca="1" si="8"/>
        <v>0.30463576158940397</v>
      </c>
      <c r="P43" s="1">
        <f t="shared" ca="1" si="0"/>
        <v>13.507</v>
      </c>
      <c r="Q43" s="1">
        <f t="shared" ca="1" si="1"/>
        <v>8.7456133856518843</v>
      </c>
      <c r="R43" s="1">
        <f t="shared" ca="1" si="11"/>
        <v>1.3828385281705784</v>
      </c>
      <c r="S43" s="1">
        <f t="shared" ca="1" si="0"/>
        <v>12.634</v>
      </c>
      <c r="T43" s="1">
        <f t="shared" ca="1" si="1"/>
        <v>6.7721228431217346</v>
      </c>
      <c r="U43" s="1">
        <f t="shared" ca="1" si="14"/>
        <v>1.0707614373911667</v>
      </c>
      <c r="V43" s="1">
        <f t="shared" ca="1" si="0"/>
        <v>8.2959999999999994</v>
      </c>
      <c r="W43" s="1">
        <f t="shared" ca="1" si="1"/>
        <v>2.2450578592092576</v>
      </c>
      <c r="X43" s="1">
        <f t="shared" ca="1" si="17"/>
        <v>0.35499035679845709</v>
      </c>
      <c r="Y43" s="1">
        <f t="shared" ca="1" si="0"/>
        <v>8.5640000000000001</v>
      </c>
      <c r="Z43" s="1">
        <f t="shared" ca="1" si="1"/>
        <v>2.3340728631480618</v>
      </c>
      <c r="AA43" s="1">
        <f t="shared" ca="1" si="20"/>
        <v>0.36898645492760396</v>
      </c>
    </row>
    <row r="44" spans="1:27" x14ac:dyDescent="0.3">
      <c r="A44" s="1">
        <v>6</v>
      </c>
      <c r="C44" s="1" t="str">
        <f t="shared" ca="1" si="21"/>
        <v>ifx.x</v>
      </c>
      <c r="D44" s="1">
        <f t="shared" ca="1" si="22"/>
        <v>7.1</v>
      </c>
      <c r="E44" s="1">
        <f t="shared" ca="1" si="23"/>
        <v>12.270281690140846</v>
      </c>
      <c r="F44" s="1">
        <f t="shared" ca="1" si="24"/>
        <v>1.9401408450704227</v>
      </c>
      <c r="G44" s="1">
        <f t="shared" ca="1" si="0"/>
        <v>8.125</v>
      </c>
      <c r="H44" s="1">
        <f t="shared" ca="1" si="1"/>
        <v>31.432738461538463</v>
      </c>
      <c r="I44" s="1">
        <f t="shared" ca="1" si="2"/>
        <v>4.9699692307692311</v>
      </c>
      <c r="J44" s="1">
        <f t="shared" ca="1" si="0"/>
        <v>3.6749999999999998</v>
      </c>
      <c r="K44" s="1">
        <f t="shared" ca="1" si="1"/>
        <v>3.9273469387755107</v>
      </c>
      <c r="L44" s="1">
        <f t="shared" ca="1" si="5"/>
        <v>0.62095238095238103</v>
      </c>
      <c r="M44" s="1">
        <f t="shared" ca="1" si="0"/>
        <v>3.4660000000000002</v>
      </c>
      <c r="N44" s="1">
        <f t="shared" ca="1" si="1"/>
        <v>5.0813618003462198</v>
      </c>
      <c r="O44" s="1">
        <f t="shared" ca="1" si="8"/>
        <v>0.80351990767455284</v>
      </c>
      <c r="P44" s="1">
        <f t="shared" ca="1" si="0"/>
        <v>0</v>
      </c>
      <c r="Q44" s="1">
        <f t="shared" ca="1" si="1"/>
        <v>0</v>
      </c>
      <c r="R44" s="1">
        <f t="shared" ca="1" si="11"/>
        <v>0</v>
      </c>
      <c r="S44" s="1">
        <f t="shared" ca="1" si="0"/>
        <v>0</v>
      </c>
      <c r="T44" s="1">
        <f t="shared" ca="1" si="1"/>
        <v>0</v>
      </c>
      <c r="U44" s="1">
        <f t="shared" ca="1" si="14"/>
        <v>0</v>
      </c>
      <c r="V44" s="1">
        <f t="shared" ca="1" si="0"/>
        <v>7.9619999999999997</v>
      </c>
      <c r="W44" s="1">
        <f t="shared" ca="1" si="1"/>
        <v>3.7759356945491085</v>
      </c>
      <c r="X44" s="1">
        <f t="shared" ca="1" si="17"/>
        <v>0.59696056267269537</v>
      </c>
      <c r="Y44" s="1">
        <f t="shared" ca="1" si="0"/>
        <v>6.8849999999999998</v>
      </c>
      <c r="Z44" s="1">
        <f t="shared" ca="1" si="1"/>
        <v>2.5061728395061733</v>
      </c>
      <c r="AA44" s="1">
        <f t="shared" ca="1" si="20"/>
        <v>0.39622367465504721</v>
      </c>
    </row>
    <row r="45" spans="1:27" x14ac:dyDescent="0.3">
      <c r="A45" s="1">
        <v>7</v>
      </c>
      <c r="C45" s="1" t="str">
        <f t="shared" ca="1" si="21"/>
        <v>ifx_o3.x</v>
      </c>
      <c r="D45" s="1">
        <f t="shared" ca="1" si="22"/>
        <v>7.9</v>
      </c>
      <c r="E45" s="1">
        <f t="shared" ca="1" si="23"/>
        <v>14.560126582278482</v>
      </c>
      <c r="F45" s="1">
        <f t="shared" ca="1" si="24"/>
        <v>2.3021518987341771</v>
      </c>
      <c r="G45" s="1">
        <f t="shared" ca="1" si="0"/>
        <v>7.75</v>
      </c>
      <c r="H45" s="1">
        <f t="shared" ca="1" si="1"/>
        <v>27.058193548387095</v>
      </c>
      <c r="I45" s="1">
        <f t="shared" ca="1" si="2"/>
        <v>4.2783225806451606</v>
      </c>
      <c r="J45" s="1">
        <f t="shared" ca="1" si="0"/>
        <v>5.4930000000000003</v>
      </c>
      <c r="K45" s="1">
        <f t="shared" ca="1" si="1"/>
        <v>1.7915528854906242</v>
      </c>
      <c r="L45" s="1">
        <f t="shared" ca="1" si="5"/>
        <v>0.28326961587474964</v>
      </c>
      <c r="M45" s="1">
        <f t="shared" ca="1" si="0"/>
        <v>3.5209999999999999</v>
      </c>
      <c r="N45" s="1">
        <f t="shared" ca="1" si="1"/>
        <v>4.9849474581084916</v>
      </c>
      <c r="O45" s="1">
        <f t="shared" ca="1" si="8"/>
        <v>0.78812837262141433</v>
      </c>
      <c r="P45" s="1">
        <f t="shared" ca="1" si="0"/>
        <v>0</v>
      </c>
      <c r="Q45" s="1">
        <f t="shared" ca="1" si="1"/>
        <v>0</v>
      </c>
      <c r="R45" s="1">
        <f t="shared" ca="1" si="11"/>
        <v>0</v>
      </c>
      <c r="S45" s="1">
        <f t="shared" ca="1" si="0"/>
        <v>0</v>
      </c>
      <c r="T45" s="1">
        <f t="shared" ca="1" si="1"/>
        <v>0</v>
      </c>
      <c r="U45" s="1">
        <f t="shared" ca="1" si="14"/>
        <v>0</v>
      </c>
      <c r="V45" s="1">
        <f t="shared" ca="1" si="0"/>
        <v>8.6069999999999993</v>
      </c>
      <c r="W45" s="1">
        <f t="shared" ca="1" si="1"/>
        <v>2.2781456953642385</v>
      </c>
      <c r="X45" s="1">
        <f t="shared" ca="1" si="17"/>
        <v>0.36017195306146166</v>
      </c>
      <c r="Y45" s="1">
        <f t="shared" ca="1" si="0"/>
        <v>6.83</v>
      </c>
      <c r="Z45" s="1">
        <f t="shared" ca="1" si="1"/>
        <v>2.0597364568081988</v>
      </c>
      <c r="AA45" s="1">
        <f t="shared" ca="1" si="20"/>
        <v>0.32562225475841872</v>
      </c>
    </row>
    <row r="46" spans="1:27" x14ac:dyDescent="0.3">
      <c r="A46" s="1">
        <v>8</v>
      </c>
      <c r="C46" s="1" t="str">
        <f t="shared" ca="1" si="21"/>
        <v>ifx_w_lu2.x</v>
      </c>
      <c r="D46" s="1">
        <f t="shared" ca="1" si="22"/>
        <v>7.2249999999999996</v>
      </c>
      <c r="E46" s="1">
        <f t="shared" ca="1" si="23"/>
        <v>19.444844290657439</v>
      </c>
      <c r="F46" s="1">
        <f t="shared" ca="1" si="24"/>
        <v>3.0744636678200696</v>
      </c>
      <c r="G46" s="1">
        <f t="shared" ca="1" si="0"/>
        <v>7.2</v>
      </c>
      <c r="H46" s="1">
        <f t="shared" ca="1" si="1"/>
        <v>10.985694444444443</v>
      </c>
      <c r="I46" s="1">
        <f t="shared" ca="1" si="2"/>
        <v>1.7369444444444444</v>
      </c>
      <c r="J46" s="1">
        <f t="shared" ca="1" si="0"/>
        <v>3.7</v>
      </c>
      <c r="K46" s="1">
        <f t="shared" ca="1" si="1"/>
        <v>3.2559459459459457</v>
      </c>
      <c r="L46" s="1">
        <f t="shared" ca="1" si="5"/>
        <v>0.51486486486486482</v>
      </c>
      <c r="M46" s="1">
        <f t="shared" ca="1" si="0"/>
        <v>3.456</v>
      </c>
      <c r="N46" s="1">
        <f t="shared" ca="1" si="1"/>
        <v>2.3263888888888888</v>
      </c>
      <c r="O46" s="1">
        <f t="shared" ca="1" si="8"/>
        <v>0.36776620370370372</v>
      </c>
      <c r="P46" s="1">
        <f t="shared" ca="1" si="0"/>
        <v>0</v>
      </c>
      <c r="Q46" s="1">
        <f t="shared" ca="1" si="1"/>
        <v>0</v>
      </c>
      <c r="R46" s="1">
        <f t="shared" ca="1" si="11"/>
        <v>0</v>
      </c>
      <c r="S46" s="1">
        <f t="shared" ca="1" si="0"/>
        <v>0</v>
      </c>
      <c r="T46" s="1">
        <f t="shared" ca="1" si="1"/>
        <v>0</v>
      </c>
      <c r="U46" s="1">
        <f t="shared" ca="1" si="14"/>
        <v>0</v>
      </c>
      <c r="V46" s="1">
        <f t="shared" ca="1" si="0"/>
        <v>7.7869999999999999</v>
      </c>
      <c r="W46" s="1">
        <f t="shared" ca="1" si="1"/>
        <v>4.1566713753692053</v>
      </c>
      <c r="X46" s="1">
        <f t="shared" ca="1" si="17"/>
        <v>0.65724926158982921</v>
      </c>
      <c r="Y46" s="1">
        <f t="shared" ca="1" si="0"/>
        <v>6.875</v>
      </c>
      <c r="Z46" s="1">
        <f t="shared" ca="1" si="1"/>
        <v>2.2864</v>
      </c>
      <c r="AA46" s="1">
        <f t="shared" ca="1" si="20"/>
        <v>0.36145454545454542</v>
      </c>
    </row>
    <row r="47" spans="1:27" x14ac:dyDescent="0.3">
      <c r="A47" s="1">
        <v>9</v>
      </c>
      <c r="C47" s="1" t="str">
        <f t="shared" ca="1" si="21"/>
        <v>ifx_w_lu2_o3.x</v>
      </c>
      <c r="D47" s="1">
        <f t="shared" ca="1" si="22"/>
        <v>7.6</v>
      </c>
      <c r="E47" s="1">
        <f t="shared" ca="1" si="23"/>
        <v>10.660394736842104</v>
      </c>
      <c r="F47" s="1">
        <f t="shared" ca="1" si="24"/>
        <v>1.6855263157894735</v>
      </c>
      <c r="G47" s="1">
        <f t="shared" ca="1" si="0"/>
        <v>7.15</v>
      </c>
      <c r="H47" s="1">
        <f t="shared" ca="1" si="1"/>
        <v>17.216923076923077</v>
      </c>
      <c r="I47" s="1">
        <f t="shared" ca="1" si="2"/>
        <v>2.7222377622377625</v>
      </c>
      <c r="J47" s="1">
        <f t="shared" ca="1" si="0"/>
        <v>5.4859999999999998</v>
      </c>
      <c r="K47" s="1">
        <f t="shared" ca="1" si="1"/>
        <v>1.6948596427269413</v>
      </c>
      <c r="L47" s="1">
        <f t="shared" ca="1" si="5"/>
        <v>0.26795479402114475</v>
      </c>
      <c r="M47" s="1">
        <f t="shared" ca="1" si="0"/>
        <v>3.4689999999999999</v>
      </c>
      <c r="N47" s="1">
        <f t="shared" ca="1" si="1"/>
        <v>4.780628423176708</v>
      </c>
      <c r="O47" s="1">
        <f t="shared" ca="1" si="8"/>
        <v>0.75583741712309027</v>
      </c>
      <c r="P47" s="1">
        <f t="shared" ca="1" si="0"/>
        <v>0</v>
      </c>
      <c r="Q47" s="1">
        <f t="shared" ca="1" si="1"/>
        <v>0</v>
      </c>
      <c r="R47" s="1">
        <f t="shared" ca="1" si="11"/>
        <v>0</v>
      </c>
      <c r="S47" s="1">
        <f t="shared" ca="1" si="0"/>
        <v>0</v>
      </c>
      <c r="T47" s="1">
        <f t="shared" ca="1" si="1"/>
        <v>0</v>
      </c>
      <c r="U47" s="1">
        <f t="shared" ca="1" si="14"/>
        <v>0</v>
      </c>
      <c r="V47" s="1">
        <f t="shared" ca="1" si="0"/>
        <v>8.5139999999999993</v>
      </c>
      <c r="W47" s="1">
        <f t="shared" ca="1" si="1"/>
        <v>3.1778247592201083</v>
      </c>
      <c r="X47" s="1">
        <f t="shared" ca="1" si="17"/>
        <v>0.50246652572233963</v>
      </c>
      <c r="Y47" s="1">
        <f t="shared" ca="1" si="0"/>
        <v>6.875</v>
      </c>
      <c r="Z47" s="1">
        <f t="shared" ca="1" si="1"/>
        <v>2.0834909090909091</v>
      </c>
      <c r="AA47" s="1">
        <f t="shared" ca="1" si="20"/>
        <v>0.3294545454545455</v>
      </c>
    </row>
    <row r="48" spans="1:27" x14ac:dyDescent="0.3">
      <c r="A48" s="1">
        <v>10</v>
      </c>
      <c r="C48" s="1" t="str">
        <f t="shared" ca="1" si="21"/>
        <v>ifx_w_lu4.x</v>
      </c>
      <c r="D48" s="1">
        <f t="shared" ca="1" si="22"/>
        <v>7.15</v>
      </c>
      <c r="E48" s="1">
        <f t="shared" ca="1" si="23"/>
        <v>10.763916083916083</v>
      </c>
      <c r="F48" s="1">
        <f t="shared" ca="1" si="24"/>
        <v>1.701958041958042</v>
      </c>
      <c r="G48" s="1">
        <f t="shared" ca="1" si="0"/>
        <v>8.9499999999999993</v>
      </c>
      <c r="H48" s="1">
        <f t="shared" ca="1" si="1"/>
        <v>34.780335195530725</v>
      </c>
      <c r="I48" s="1">
        <f t="shared" ca="1" si="2"/>
        <v>5.4992178770949733</v>
      </c>
      <c r="J48" s="1">
        <f t="shared" ca="1" si="0"/>
        <v>3.677</v>
      </c>
      <c r="K48" s="1">
        <f t="shared" ca="1" si="1"/>
        <v>3.0663584443840088</v>
      </c>
      <c r="L48" s="1">
        <f t="shared" ca="1" si="5"/>
        <v>0.48490617351101439</v>
      </c>
      <c r="M48" s="1">
        <f t="shared" ca="1" si="0"/>
        <v>3.4529999999999998</v>
      </c>
      <c r="N48" s="1">
        <f t="shared" ca="1" si="1"/>
        <v>5.6330726904141333</v>
      </c>
      <c r="O48" s="1">
        <f t="shared" ca="1" si="8"/>
        <v>0.89081957717926452</v>
      </c>
      <c r="P48" s="1">
        <f t="shared" ca="1" si="0"/>
        <v>0</v>
      </c>
      <c r="Q48" s="1">
        <f t="shared" ca="1" si="1"/>
        <v>0</v>
      </c>
      <c r="R48" s="1">
        <f t="shared" ca="1" si="11"/>
        <v>0</v>
      </c>
      <c r="S48" s="1">
        <f t="shared" ca="1" si="0"/>
        <v>0</v>
      </c>
      <c r="T48" s="1">
        <f t="shared" ca="1" si="1"/>
        <v>0</v>
      </c>
      <c r="U48" s="1">
        <f t="shared" ca="1" si="14"/>
        <v>0</v>
      </c>
      <c r="V48" s="1">
        <f t="shared" ca="1" si="0"/>
        <v>7.827</v>
      </c>
      <c r="W48" s="1">
        <f t="shared" ca="1" si="1"/>
        <v>4.5355819598824585</v>
      </c>
      <c r="X48" s="1">
        <f t="shared" ca="1" si="17"/>
        <v>0.71713300114986578</v>
      </c>
      <c r="Y48" s="1">
        <f t="shared" ca="1" si="0"/>
        <v>6.867</v>
      </c>
      <c r="Z48" s="1">
        <f t="shared" ca="1" si="1"/>
        <v>2.2728993738168053</v>
      </c>
      <c r="AA48" s="1">
        <f t="shared" ca="1" si="20"/>
        <v>0.35940002912479974</v>
      </c>
    </row>
    <row r="49" spans="1:27" x14ac:dyDescent="0.3">
      <c r="A49" s="1">
        <v>11</v>
      </c>
      <c r="C49" s="1" t="str">
        <f t="shared" ca="1" si="21"/>
        <v>ifx_w_lu8.x</v>
      </c>
      <c r="D49" s="1">
        <f t="shared" ca="1" si="22"/>
        <v>7.2249999999999996</v>
      </c>
      <c r="E49" s="1">
        <f t="shared" ca="1" si="23"/>
        <v>20.669342560553638</v>
      </c>
      <c r="F49" s="1">
        <f t="shared" ca="1" si="24"/>
        <v>3.2680968858131485</v>
      </c>
      <c r="G49" s="1">
        <f t="shared" ca="1" si="0"/>
        <v>7.125</v>
      </c>
      <c r="H49" s="1">
        <f t="shared" ca="1" si="1"/>
        <v>11.971508771929825</v>
      </c>
      <c r="I49" s="1">
        <f t="shared" ca="1" si="2"/>
        <v>1.8929122807017542</v>
      </c>
      <c r="J49" s="1">
        <f t="shared" ca="1" si="0"/>
        <v>3.6360000000000001</v>
      </c>
      <c r="K49" s="1">
        <f t="shared" ca="1" si="1"/>
        <v>2.7134213421342133</v>
      </c>
      <c r="L49" s="1">
        <f t="shared" ca="1" si="5"/>
        <v>0.42904290429042896</v>
      </c>
      <c r="M49" s="1">
        <f t="shared" ca="1" si="0"/>
        <v>3.4860000000000002</v>
      </c>
      <c r="N49" s="1">
        <f t="shared" ca="1" si="1"/>
        <v>4.1049913941480209</v>
      </c>
      <c r="O49" s="1">
        <f t="shared" ca="1" si="8"/>
        <v>0.64916810097532984</v>
      </c>
      <c r="P49" s="1">
        <f t="shared" ca="1" si="0"/>
        <v>0</v>
      </c>
      <c r="Q49" s="1">
        <f t="shared" ca="1" si="1"/>
        <v>0</v>
      </c>
      <c r="R49" s="1">
        <f t="shared" ca="1" si="11"/>
        <v>0</v>
      </c>
      <c r="S49" s="1">
        <f t="shared" ca="1" si="0"/>
        <v>0</v>
      </c>
      <c r="T49" s="1">
        <f t="shared" ca="1" si="1"/>
        <v>0</v>
      </c>
      <c r="U49" s="1">
        <f t="shared" ca="1" si="14"/>
        <v>0</v>
      </c>
      <c r="V49" s="1">
        <f t="shared" ca="1" si="0"/>
        <v>7.9870000000000001</v>
      </c>
      <c r="W49" s="1">
        <f t="shared" ca="1" si="1"/>
        <v>4.3235257293101297</v>
      </c>
      <c r="X49" s="1">
        <f t="shared" ca="1" si="17"/>
        <v>0.68361086765994739</v>
      </c>
      <c r="Y49" s="1">
        <f t="shared" ca="1" si="0"/>
        <v>6.843</v>
      </c>
      <c r="Z49" s="1">
        <f t="shared" ca="1" si="1"/>
        <v>1.32251936285255</v>
      </c>
      <c r="AA49" s="1">
        <f t="shared" ca="1" si="20"/>
        <v>0.2091188075405524</v>
      </c>
    </row>
    <row r="50" spans="1:27" x14ac:dyDescent="0.3">
      <c r="A50" s="1">
        <v>12</v>
      </c>
      <c r="C50" s="1" t="str">
        <f t="shared" ca="1" si="21"/>
        <v>gpp.x</v>
      </c>
      <c r="D50" s="1">
        <f t="shared" ca="1" si="22"/>
        <v>8.4459999999999997</v>
      </c>
      <c r="E50" s="1">
        <f t="shared" ca="1" si="23"/>
        <v>3.1820980345725789</v>
      </c>
      <c r="F50" s="1">
        <f t="shared" ca="1" si="24"/>
        <v>0.50307838029836605</v>
      </c>
      <c r="G50" s="1">
        <f t="shared" ca="1" si="0"/>
        <v>8.5350000000000001</v>
      </c>
      <c r="H50" s="1">
        <f t="shared" ca="1" si="1"/>
        <v>3.8987697715289986</v>
      </c>
      <c r="I50" s="1">
        <f t="shared" ca="1" si="2"/>
        <v>0.6164030462800234</v>
      </c>
      <c r="J50" s="1">
        <f t="shared" ca="1" si="0"/>
        <v>5.52</v>
      </c>
      <c r="K50" s="1">
        <f t="shared" ca="1" si="1"/>
        <v>2.4405797101449278</v>
      </c>
      <c r="L50" s="1">
        <f t="shared" ca="1" si="5"/>
        <v>0.3858695652173913</v>
      </c>
      <c r="M50" s="1">
        <f t="shared" ca="1" si="0"/>
        <v>5.4960000000000004</v>
      </c>
      <c r="N50" s="1">
        <f t="shared" ca="1" si="1"/>
        <v>1.939410480349345</v>
      </c>
      <c r="O50" s="1">
        <f t="shared" ca="1" si="8"/>
        <v>0.30658660844250363</v>
      </c>
      <c r="P50" s="1">
        <f t="shared" ca="1" si="0"/>
        <v>13.396000000000001</v>
      </c>
      <c r="Q50" s="1">
        <f t="shared" ca="1" si="1"/>
        <v>10.044490892803822</v>
      </c>
      <c r="R50" s="1">
        <f t="shared" ca="1" si="11"/>
        <v>1.5881606449686472</v>
      </c>
      <c r="S50" s="1">
        <f t="shared" ca="1" si="0"/>
        <v>13.324</v>
      </c>
      <c r="T50" s="1">
        <f t="shared" ca="1" si="1"/>
        <v>7.9359801861302914</v>
      </c>
      <c r="U50" s="1">
        <f t="shared" ca="1" si="14"/>
        <v>1.2548033623536476</v>
      </c>
      <c r="V50" s="1">
        <f t="shared" ca="1" si="0"/>
        <v>9.0920000000000005</v>
      </c>
      <c r="W50" s="1">
        <f t="shared" ca="1" si="1"/>
        <v>2.1446326440827099</v>
      </c>
      <c r="X50" s="1">
        <f t="shared" ca="1" si="17"/>
        <v>0.33908930928288605</v>
      </c>
      <c r="Y50" s="1">
        <f t="shared" ca="1" si="0"/>
        <v>12.423999999999999</v>
      </c>
      <c r="Z50" s="1">
        <f t="shared" ca="1" si="1"/>
        <v>0.49034127495170643</v>
      </c>
      <c r="AA50" s="1">
        <f t="shared" ca="1" si="20"/>
        <v>7.7511268512556339E-2</v>
      </c>
    </row>
    <row r="51" spans="1:27" x14ac:dyDescent="0.3">
      <c r="A51" s="1">
        <v>13</v>
      </c>
      <c r="C51" s="1" t="str">
        <f t="shared" ca="1" si="21"/>
        <v>gpp_o3.x</v>
      </c>
      <c r="D51" s="1">
        <f t="shared" ca="1" si="22"/>
        <v>8.5419999999999998</v>
      </c>
      <c r="E51" s="1">
        <f t="shared" ca="1" si="23"/>
        <v>5.1805197845937725</v>
      </c>
      <c r="F51" s="1">
        <f t="shared" ca="1" si="24"/>
        <v>0.81912900959962553</v>
      </c>
      <c r="G51" s="1">
        <f t="shared" ca="1" si="0"/>
        <v>8.407</v>
      </c>
      <c r="H51" s="1">
        <f t="shared" ca="1" si="1"/>
        <v>4.2117283216367314</v>
      </c>
      <c r="I51" s="1">
        <f t="shared" ca="1" si="2"/>
        <v>0.6658736766979898</v>
      </c>
      <c r="J51" s="1">
        <f t="shared" ca="1" si="0"/>
        <v>18.914000000000001</v>
      </c>
      <c r="K51" s="1">
        <f t="shared" ca="1" si="1"/>
        <v>0.46568679285185571</v>
      </c>
      <c r="L51" s="1">
        <f t="shared" ca="1" si="5"/>
        <v>7.3649148778682449E-2</v>
      </c>
      <c r="M51" s="1">
        <f t="shared" ca="1" si="0"/>
        <v>8.2309999999999999</v>
      </c>
      <c r="N51" s="1">
        <f t="shared" ca="1" si="1"/>
        <v>0.81229498238367148</v>
      </c>
      <c r="O51" s="1">
        <f t="shared" ca="1" si="8"/>
        <v>0.12841696027214189</v>
      </c>
      <c r="P51" s="1">
        <f t="shared" ca="1" si="0"/>
        <v>13.603999999999999</v>
      </c>
      <c r="Q51" s="1">
        <f t="shared" ca="1" si="1"/>
        <v>8.652528668038812</v>
      </c>
      <c r="R51" s="1">
        <f t="shared" ca="1" si="11"/>
        <v>1.3680535136724494</v>
      </c>
      <c r="S51" s="1">
        <f t="shared" ca="1" si="0"/>
        <v>13.481999999999999</v>
      </c>
      <c r="T51" s="1">
        <f t="shared" ca="1" si="1"/>
        <v>10.281412253374871</v>
      </c>
      <c r="U51" s="1">
        <f t="shared" ca="1" si="14"/>
        <v>1.625649013499481</v>
      </c>
      <c r="V51" s="1">
        <f t="shared" ca="1" si="0"/>
        <v>14.579000000000001</v>
      </c>
      <c r="W51" s="1">
        <f t="shared" ca="1" si="1"/>
        <v>0.96906509362782067</v>
      </c>
      <c r="X51" s="1">
        <f t="shared" ca="1" si="17"/>
        <v>0.15323410384800054</v>
      </c>
      <c r="Y51" s="1">
        <f t="shared" ca="1" si="0"/>
        <v>10.707000000000001</v>
      </c>
      <c r="Z51" s="1">
        <f t="shared" ca="1" si="1"/>
        <v>1.0497805174185113</v>
      </c>
      <c r="AA51" s="1">
        <f t="shared" ca="1" si="20"/>
        <v>0.16596619034276641</v>
      </c>
    </row>
    <row r="52" spans="1:27" x14ac:dyDescent="0.3">
      <c r="A52" s="1">
        <v>14</v>
      </c>
      <c r="C52" s="1" t="str">
        <f t="shared" ca="1" si="21"/>
        <v>gpp_w_lu2.x</v>
      </c>
      <c r="D52" s="1">
        <f t="shared" ca="1" si="22"/>
        <v>8.42</v>
      </c>
      <c r="E52" s="1">
        <f t="shared" ca="1" si="23"/>
        <v>2.2427553444180521</v>
      </c>
      <c r="F52" s="1">
        <f t="shared" ca="1" si="24"/>
        <v>0.35463182897862233</v>
      </c>
      <c r="G52" s="1">
        <f t="shared" ca="1" si="0"/>
        <v>8.5109999999999992</v>
      </c>
      <c r="H52" s="1">
        <f t="shared" ca="1" si="1"/>
        <v>3.7059099988250508</v>
      </c>
      <c r="I52" s="1">
        <f t="shared" ca="1" si="2"/>
        <v>0.58594759722711787</v>
      </c>
      <c r="J52" s="1">
        <f t="shared" ca="1" si="0"/>
        <v>5.4930000000000003</v>
      </c>
      <c r="K52" s="1">
        <f t="shared" ca="1" si="1"/>
        <v>1.9315492444929909</v>
      </c>
      <c r="L52" s="1">
        <f t="shared" ca="1" si="5"/>
        <v>0.30547970143819403</v>
      </c>
      <c r="M52" s="1">
        <f t="shared" ca="1" si="0"/>
        <v>5.5010000000000003</v>
      </c>
      <c r="N52" s="1">
        <f t="shared" ca="1" si="1"/>
        <v>2.1445191783312123</v>
      </c>
      <c r="O52" s="1">
        <f t="shared" ca="1" si="8"/>
        <v>0.33902926740592615</v>
      </c>
      <c r="P52" s="1">
        <f t="shared" ca="1" si="0"/>
        <v>16.076000000000001</v>
      </c>
      <c r="Q52" s="1">
        <f t="shared" ca="1" si="1"/>
        <v>7.4454466285145564</v>
      </c>
      <c r="R52" s="1">
        <f t="shared" ca="1" si="11"/>
        <v>1.1772207016670813</v>
      </c>
      <c r="S52" s="1">
        <f t="shared" ca="1" si="0"/>
        <v>16.504999999999999</v>
      </c>
      <c r="T52" s="1">
        <f t="shared" ca="1" si="1"/>
        <v>7.8192063011208717</v>
      </c>
      <c r="U52" s="1">
        <f t="shared" ca="1" si="14"/>
        <v>1.2362920327173585</v>
      </c>
      <c r="V52" s="1">
        <f t="shared" ca="1" si="0"/>
        <v>9.1210000000000004</v>
      </c>
      <c r="W52" s="1">
        <f t="shared" ca="1" si="1"/>
        <v>2.7334722069948469</v>
      </c>
      <c r="X52" s="1">
        <f t="shared" ca="1" si="17"/>
        <v>0.43218945291086497</v>
      </c>
      <c r="Y52" s="1">
        <f t="shared" ca="1" si="0"/>
        <v>11.927</v>
      </c>
      <c r="Z52" s="1">
        <f t="shared" ca="1" si="1"/>
        <v>0.8555378552863252</v>
      </c>
      <c r="AA52" s="1">
        <f t="shared" ca="1" si="20"/>
        <v>0.13523937285151336</v>
      </c>
    </row>
    <row r="53" spans="1:27" x14ac:dyDescent="0.3">
      <c r="A53" s="1">
        <v>15</v>
      </c>
      <c r="C53" s="1" t="str">
        <f t="shared" ca="1" si="21"/>
        <v>gpp_w_lu2_o3.x</v>
      </c>
      <c r="D53" s="1">
        <f t="shared" ca="1" si="22"/>
        <v>8.4209999999999994</v>
      </c>
      <c r="E53" s="1">
        <f t="shared" ca="1" si="23"/>
        <v>2.6583541147132173</v>
      </c>
      <c r="F53" s="1">
        <f t="shared" ca="1" si="24"/>
        <v>0.42037762736017104</v>
      </c>
      <c r="G53" s="1">
        <f t="shared" ca="1" si="0"/>
        <v>8.609</v>
      </c>
      <c r="H53" s="1">
        <f t="shared" ca="1" si="1"/>
        <v>4.7467766291090721</v>
      </c>
      <c r="I53" s="1">
        <f t="shared" ca="1" si="2"/>
        <v>0.75049366941572782</v>
      </c>
      <c r="J53" s="1">
        <f t="shared" ca="1" si="0"/>
        <v>5.46</v>
      </c>
      <c r="K53" s="1">
        <f t="shared" ca="1" si="1"/>
        <v>1.8172161172161174</v>
      </c>
      <c r="L53" s="1">
        <f t="shared" ca="1" si="5"/>
        <v>0.28736263736263734</v>
      </c>
      <c r="M53" s="1">
        <f t="shared" ca="1" si="0"/>
        <v>5.524</v>
      </c>
      <c r="N53" s="1">
        <f t="shared" ca="1" si="1"/>
        <v>2.6696234612599565</v>
      </c>
      <c r="O53" s="1">
        <f t="shared" ca="1" si="8"/>
        <v>0.42215785662563354</v>
      </c>
      <c r="P53" s="1">
        <f t="shared" ca="1" si="0"/>
        <v>16.960999999999999</v>
      </c>
      <c r="Q53" s="1">
        <f t="shared" ca="1" si="1"/>
        <v>6.6131124344083494</v>
      </c>
      <c r="R53" s="1">
        <f t="shared" ca="1" si="11"/>
        <v>1.0456341017628679</v>
      </c>
      <c r="S53" s="1">
        <f t="shared" ca="1" si="0"/>
        <v>16.859000000000002</v>
      </c>
      <c r="T53" s="1">
        <f t="shared" ca="1" si="1"/>
        <v>7.7151076576309379</v>
      </c>
      <c r="U53" s="1">
        <f t="shared" ca="1" si="14"/>
        <v>1.219882555311703</v>
      </c>
      <c r="V53" s="1">
        <f t="shared" ca="1" si="0"/>
        <v>9.1769999999999996</v>
      </c>
      <c r="W53" s="1">
        <f t="shared" ca="1" si="1"/>
        <v>2.3060913152446334</v>
      </c>
      <c r="X53" s="1">
        <f t="shared" ca="1" si="17"/>
        <v>0.36460717009916094</v>
      </c>
      <c r="Y53" s="1">
        <f t="shared" ca="1" si="0"/>
        <v>11.981999999999999</v>
      </c>
      <c r="Z53" s="1">
        <f t="shared" ca="1" si="1"/>
        <v>0.57686529794692043</v>
      </c>
      <c r="AA53" s="1">
        <f t="shared" ca="1" si="20"/>
        <v>9.1220163578701385E-2</v>
      </c>
    </row>
    <row r="54" spans="1:27" x14ac:dyDescent="0.3">
      <c r="A54" s="1">
        <v>16</v>
      </c>
      <c r="C54" s="1" t="str">
        <f t="shared" ca="1" si="21"/>
        <v>gpp_w_lu4.x</v>
      </c>
      <c r="D54" s="1">
        <f t="shared" ca="1" si="22"/>
        <v>8.4710000000000001</v>
      </c>
      <c r="E54" s="1">
        <f t="shared" ca="1" si="23"/>
        <v>4.2829654114036124</v>
      </c>
      <c r="F54" s="1">
        <f t="shared" ca="1" si="24"/>
        <v>0.67725180025970966</v>
      </c>
      <c r="G54" s="1">
        <f t="shared" ref="G54:AA61" ca="1" si="25">G27</f>
        <v>8.5649999999999995</v>
      </c>
      <c r="H54" s="1">
        <f t="shared" ref="H54:AA61" ca="1" si="26">IF(G27=0,0,H27*100/G27)</f>
        <v>5.2913018096906015</v>
      </c>
      <c r="I54" s="1">
        <f t="shared" ca="1" si="2"/>
        <v>0.83666082895504967</v>
      </c>
      <c r="J54" s="1">
        <f t="shared" ref="J54:AA61" ca="1" si="27">J27</f>
        <v>5.5</v>
      </c>
      <c r="K54" s="1">
        <f t="shared" ref="K54:AA61" ca="1" si="28">IF(J27=0,0,K27*100/J27)</f>
        <v>2.4060000000000001</v>
      </c>
      <c r="L54" s="1">
        <f t="shared" ca="1" si="5"/>
        <v>0.3803636363636364</v>
      </c>
      <c r="M54" s="1">
        <f t="shared" ref="M54:AA61" ca="1" si="29">M27</f>
        <v>5.5030000000000001</v>
      </c>
      <c r="N54" s="1">
        <f t="shared" ref="N54:AA61" ca="1" si="30">IF(M27=0,0,N27*100/M27)</f>
        <v>2.3896056696347445</v>
      </c>
      <c r="O54" s="1">
        <f t="shared" ca="1" si="8"/>
        <v>0.37779393058331812</v>
      </c>
      <c r="P54" s="1">
        <f t="shared" ref="P54:AA61" ca="1" si="31">P27</f>
        <v>17.064</v>
      </c>
      <c r="Q54" s="1">
        <f t="shared" ref="Q54:AA61" ca="1" si="32">IF(P27=0,0,Q27*100/P27)</f>
        <v>7.5100210970464127</v>
      </c>
      <c r="R54" s="1">
        <f t="shared" ca="1" si="11"/>
        <v>1.1874120956399437</v>
      </c>
      <c r="S54" s="1">
        <f t="shared" ref="S54:AA61" ca="1" si="33">S27</f>
        <v>16.606999999999999</v>
      </c>
      <c r="T54" s="1">
        <f t="shared" ref="T54:AA61" ca="1" si="34">IF(S27=0,0,T27*100/S27)</f>
        <v>7.6294333714698626</v>
      </c>
      <c r="U54" s="1">
        <f t="shared" ca="1" si="14"/>
        <v>1.2062985488047211</v>
      </c>
      <c r="V54" s="1">
        <f t="shared" ref="V54:AA61" ca="1" si="35">V27</f>
        <v>8.9149999999999991</v>
      </c>
      <c r="W54" s="1">
        <f t="shared" ref="W54:AA61" ca="1" si="36">IF(V27=0,0,W27*100/V27)</f>
        <v>2.964217610768368</v>
      </c>
      <c r="X54" s="1">
        <f t="shared" ca="1" si="17"/>
        <v>0.46864834548513745</v>
      </c>
      <c r="Y54" s="1">
        <f t="shared" ref="Y54:AA61" ca="1" si="37">Y27</f>
        <v>11.959</v>
      </c>
      <c r="Z54" s="1">
        <f t="shared" ref="Z54:AA61" ca="1" si="38">IF(Y27=0,0,Z27*100/Y27)</f>
        <v>0.25679404632494357</v>
      </c>
      <c r="AA54" s="1">
        <f t="shared" ca="1" si="20"/>
        <v>4.0638849402123922E-2</v>
      </c>
    </row>
    <row r="55" spans="1:27" x14ac:dyDescent="0.3">
      <c r="A55" s="1">
        <v>17</v>
      </c>
      <c r="C55" s="1" t="str">
        <f t="shared" ca="1" si="21"/>
        <v>gpp_w_lu8.x</v>
      </c>
      <c r="D55" s="1">
        <f t="shared" ca="1" si="22"/>
        <v>8.3859999999999992</v>
      </c>
      <c r="E55" s="1">
        <f t="shared" ca="1" si="23"/>
        <v>2.5140710708323395</v>
      </c>
      <c r="F55" s="1">
        <f t="shared" ca="1" si="24"/>
        <v>0.39744812783210115</v>
      </c>
      <c r="G55" s="1">
        <f t="shared" ca="1" si="25"/>
        <v>8.4770000000000003</v>
      </c>
      <c r="H55" s="1">
        <f t="shared" ca="1" si="26"/>
        <v>3.8054736345405211</v>
      </c>
      <c r="I55" s="1">
        <f t="shared" ca="1" si="2"/>
        <v>0.60174590067240763</v>
      </c>
      <c r="J55" s="1">
        <f t="shared" ca="1" si="27"/>
        <v>5.4939999999999998</v>
      </c>
      <c r="K55" s="1">
        <f t="shared" ca="1" si="28"/>
        <v>1.6561703676738262</v>
      </c>
      <c r="L55" s="1">
        <f t="shared" ca="1" si="5"/>
        <v>0.26192209683290862</v>
      </c>
      <c r="M55" s="1">
        <f t="shared" ca="1" si="29"/>
        <v>5.52</v>
      </c>
      <c r="N55" s="1">
        <f t="shared" ca="1" si="30"/>
        <v>2.2711956521739132</v>
      </c>
      <c r="O55" s="1">
        <f t="shared" ca="1" si="8"/>
        <v>0.35905797101449277</v>
      </c>
      <c r="P55" s="1">
        <f t="shared" ca="1" si="31"/>
        <v>16.989000000000001</v>
      </c>
      <c r="Q55" s="1">
        <f t="shared" ca="1" si="32"/>
        <v>8.0635705456471829</v>
      </c>
      <c r="R55" s="1">
        <f t="shared" ca="1" si="11"/>
        <v>1.2749426099240684</v>
      </c>
      <c r="S55" s="1">
        <f t="shared" ca="1" si="33"/>
        <v>16.818000000000001</v>
      </c>
      <c r="T55" s="1">
        <f t="shared" ca="1" si="34"/>
        <v>10.397431323581875</v>
      </c>
      <c r="U55" s="1">
        <f t="shared" ca="1" si="14"/>
        <v>1.6439529075990009</v>
      </c>
      <c r="V55" s="1">
        <f t="shared" ca="1" si="35"/>
        <v>9.0890000000000004</v>
      </c>
      <c r="W55" s="1">
        <f t="shared" ca="1" si="36"/>
        <v>2.7443063043239082</v>
      </c>
      <c r="X55" s="1">
        <f t="shared" ca="1" si="17"/>
        <v>0.43393112553636265</v>
      </c>
      <c r="Y55" s="1">
        <f t="shared" ca="1" si="37"/>
        <v>11.977</v>
      </c>
      <c r="Z55" s="1">
        <f t="shared" ca="1" si="38"/>
        <v>0.25348584787509393</v>
      </c>
      <c r="AA55" s="1">
        <f t="shared" ca="1" si="20"/>
        <v>4.0076813893295482E-2</v>
      </c>
    </row>
    <row r="56" spans="1:27" x14ac:dyDescent="0.3">
      <c r="A56" s="1">
        <v>18</v>
      </c>
      <c r="C56" s="1" t="str">
        <f t="shared" ca="1" si="21"/>
        <v>icx.x</v>
      </c>
      <c r="D56" s="1">
        <f t="shared" ca="1" si="22"/>
        <v>7.35</v>
      </c>
      <c r="E56" s="1">
        <f t="shared" ca="1" si="23"/>
        <v>3.6340136054421772</v>
      </c>
      <c r="F56" s="1">
        <f t="shared" ca="1" si="24"/>
        <v>0.57455782312925174</v>
      </c>
      <c r="G56" s="1">
        <f t="shared" ca="1" si="25"/>
        <v>6.9829999999999997</v>
      </c>
      <c r="H56" s="1">
        <f t="shared" ca="1" si="26"/>
        <v>6.702420163253616</v>
      </c>
      <c r="I56" s="1">
        <f t="shared" ca="1" si="2"/>
        <v>1.059716454246026</v>
      </c>
      <c r="J56" s="1">
        <f t="shared" ca="1" si="27"/>
        <v>3.5590000000000002</v>
      </c>
      <c r="K56" s="1">
        <f t="shared" ca="1" si="28"/>
        <v>4.6513065467828039</v>
      </c>
      <c r="L56" s="1">
        <f t="shared" ca="1" si="5"/>
        <v>0.73531890980612524</v>
      </c>
      <c r="M56" s="1">
        <f t="shared" ca="1" si="29"/>
        <v>3.476</v>
      </c>
      <c r="N56" s="1">
        <f t="shared" ca="1" si="30"/>
        <v>5.0385500575373996</v>
      </c>
      <c r="O56" s="1">
        <f t="shared" ca="1" si="8"/>
        <v>0.79660529344073649</v>
      </c>
      <c r="P56" s="1">
        <f t="shared" ca="1" si="31"/>
        <v>0</v>
      </c>
      <c r="Q56" s="1">
        <f t="shared" ca="1" si="32"/>
        <v>0</v>
      </c>
      <c r="R56" s="1">
        <f t="shared" ca="1" si="11"/>
        <v>0</v>
      </c>
      <c r="S56" s="1">
        <f t="shared" ca="1" si="33"/>
        <v>0</v>
      </c>
      <c r="T56" s="1">
        <f t="shared" ca="1" si="34"/>
        <v>0</v>
      </c>
      <c r="U56" s="1">
        <f t="shared" ca="1" si="14"/>
        <v>0</v>
      </c>
      <c r="V56" s="1">
        <f t="shared" ca="1" si="35"/>
        <v>7.5110000000000001</v>
      </c>
      <c r="W56" s="1">
        <f t="shared" ca="1" si="36"/>
        <v>3.130874717081614</v>
      </c>
      <c r="X56" s="1">
        <f t="shared" ca="1" si="17"/>
        <v>0.49500732259352948</v>
      </c>
      <c r="Y56" s="1">
        <f t="shared" ca="1" si="37"/>
        <v>6.883</v>
      </c>
      <c r="Z56" s="1">
        <f t="shared" ca="1" si="38"/>
        <v>1.9094871422344906</v>
      </c>
      <c r="AA56" s="1">
        <f t="shared" ca="1" si="20"/>
        <v>0.30190323986633733</v>
      </c>
    </row>
    <row r="57" spans="1:27" x14ac:dyDescent="0.3">
      <c r="A57" s="1">
        <v>19</v>
      </c>
      <c r="C57" s="1" t="str">
        <f t="shared" ca="1" si="21"/>
        <v>icx_o3.x</v>
      </c>
      <c r="D57" s="1">
        <f t="shared" ca="1" si="22"/>
        <v>7.4240000000000004</v>
      </c>
      <c r="E57" s="1">
        <f t="shared" ca="1" si="23"/>
        <v>7.5138739224137927</v>
      </c>
      <c r="F57" s="1">
        <f t="shared" ca="1" si="24"/>
        <v>1.1880387931034482</v>
      </c>
      <c r="G57" s="1">
        <f t="shared" ca="1" si="25"/>
        <v>7.0060000000000002</v>
      </c>
      <c r="H57" s="1">
        <f t="shared" ca="1" si="26"/>
        <v>6.4162146731373104</v>
      </c>
      <c r="I57" s="1">
        <f t="shared" ca="1" si="2"/>
        <v>1.0145589494718812</v>
      </c>
      <c r="J57" s="1">
        <f t="shared" ca="1" si="27"/>
        <v>3.5619999999999998</v>
      </c>
      <c r="K57" s="1">
        <f t="shared" ca="1" si="28"/>
        <v>5.1897810218978107</v>
      </c>
      <c r="L57" s="1">
        <f t="shared" ca="1" si="5"/>
        <v>0.82060640089837178</v>
      </c>
      <c r="M57" s="1">
        <f t="shared" ca="1" si="29"/>
        <v>3.42</v>
      </c>
      <c r="N57" s="1">
        <f t="shared" ca="1" si="30"/>
        <v>6.5002923976608189</v>
      </c>
      <c r="O57" s="1">
        <f t="shared" ca="1" si="8"/>
        <v>1.0277777777777779</v>
      </c>
      <c r="P57" s="1">
        <f t="shared" ca="1" si="31"/>
        <v>0</v>
      </c>
      <c r="Q57" s="1">
        <f t="shared" ca="1" si="32"/>
        <v>0</v>
      </c>
      <c r="R57" s="1">
        <f t="shared" ca="1" si="11"/>
        <v>0</v>
      </c>
      <c r="S57" s="1">
        <f t="shared" ca="1" si="33"/>
        <v>0</v>
      </c>
      <c r="T57" s="1">
        <f t="shared" ca="1" si="34"/>
        <v>0</v>
      </c>
      <c r="U57" s="1">
        <f t="shared" ca="1" si="14"/>
        <v>0</v>
      </c>
      <c r="V57" s="1">
        <f t="shared" ca="1" si="35"/>
        <v>7.431</v>
      </c>
      <c r="W57" s="1">
        <f t="shared" ca="1" si="36"/>
        <v>3.1904185170232813</v>
      </c>
      <c r="X57" s="1">
        <f t="shared" ca="1" si="17"/>
        <v>0.5045081415691024</v>
      </c>
      <c r="Y57" s="1">
        <f t="shared" ca="1" si="37"/>
        <v>6.8659999999999997</v>
      </c>
      <c r="Z57" s="1">
        <f t="shared" ca="1" si="38"/>
        <v>1.6441887561899213</v>
      </c>
      <c r="AA57" s="1">
        <f t="shared" ca="1" si="20"/>
        <v>0.2599766967666764</v>
      </c>
    </row>
    <row r="58" spans="1:27" x14ac:dyDescent="0.3">
      <c r="A58" s="1">
        <v>20</v>
      </c>
      <c r="C58" s="1" t="str">
        <f t="shared" ca="1" si="21"/>
        <v>icx_w_lu2.x</v>
      </c>
      <c r="D58" s="1">
        <f t="shared" ca="1" si="22"/>
        <v>7.2629999999999999</v>
      </c>
      <c r="E58" s="1">
        <f t="shared" ca="1" si="23"/>
        <v>3.3169489191794028</v>
      </c>
      <c r="F58" s="1">
        <f t="shared" ca="1" si="24"/>
        <v>0.52443893707834222</v>
      </c>
      <c r="G58" s="1">
        <f t="shared" ca="1" si="25"/>
        <v>6.9489999999999998</v>
      </c>
      <c r="H58" s="1">
        <f t="shared" ca="1" si="26"/>
        <v>5.4656785148942291</v>
      </c>
      <c r="I58" s="1">
        <f t="shared" ca="1" si="2"/>
        <v>0.86415311555619512</v>
      </c>
      <c r="J58" s="1">
        <f t="shared" ca="1" si="27"/>
        <v>3.5750000000000002</v>
      </c>
      <c r="K58" s="1">
        <f t="shared" ca="1" si="28"/>
        <v>5.1552447552447553</v>
      </c>
      <c r="L58" s="1">
        <f t="shared" ca="1" si="5"/>
        <v>0.81510489510489503</v>
      </c>
      <c r="M58" s="1">
        <f t="shared" ca="1" si="29"/>
        <v>3.5750000000000002</v>
      </c>
      <c r="N58" s="1">
        <f t="shared" ca="1" si="30"/>
        <v>5.9910489510489509</v>
      </c>
      <c r="O58" s="1">
        <f t="shared" ca="1" si="8"/>
        <v>0.94713286713286715</v>
      </c>
      <c r="P58" s="1">
        <f t="shared" ca="1" si="31"/>
        <v>0</v>
      </c>
      <c r="Q58" s="1">
        <f t="shared" ca="1" si="32"/>
        <v>0</v>
      </c>
      <c r="R58" s="1">
        <f t="shared" ca="1" si="11"/>
        <v>0</v>
      </c>
      <c r="S58" s="1">
        <f t="shared" ca="1" si="33"/>
        <v>0</v>
      </c>
      <c r="T58" s="1">
        <f t="shared" ca="1" si="34"/>
        <v>0</v>
      </c>
      <c r="U58" s="1">
        <f t="shared" ca="1" si="14"/>
        <v>0</v>
      </c>
      <c r="V58" s="1">
        <f t="shared" ca="1" si="35"/>
        <v>7.4969999999999999</v>
      </c>
      <c r="W58" s="1">
        <f t="shared" ca="1" si="36"/>
        <v>3.0923035881019074</v>
      </c>
      <c r="X58" s="1">
        <f t="shared" ca="1" si="17"/>
        <v>0.48899559823929573</v>
      </c>
      <c r="Y58" s="1">
        <f t="shared" ca="1" si="37"/>
        <v>6.8410000000000002</v>
      </c>
      <c r="Z58" s="1">
        <f t="shared" ca="1" si="38"/>
        <v>1.7243093115041659</v>
      </c>
      <c r="AA58" s="1">
        <f t="shared" ca="1" si="20"/>
        <v>0.27262096184768309</v>
      </c>
    </row>
    <row r="59" spans="1:27" x14ac:dyDescent="0.3">
      <c r="A59" s="1">
        <v>21</v>
      </c>
      <c r="C59" s="1" t="str">
        <f t="shared" ca="1" si="21"/>
        <v>icx_w_lu2_o3.x</v>
      </c>
      <c r="D59" s="1">
        <f t="shared" ca="1" si="22"/>
        <v>7.3170000000000002</v>
      </c>
      <c r="E59" s="1">
        <f t="shared" ca="1" si="23"/>
        <v>3.4952849528495284</v>
      </c>
      <c r="F59" s="1">
        <f t="shared" ca="1" si="24"/>
        <v>0.55268552685526851</v>
      </c>
      <c r="G59" s="1">
        <f t="shared" ca="1" si="25"/>
        <v>7.0490000000000004</v>
      </c>
      <c r="H59" s="1">
        <f t="shared" ca="1" si="26"/>
        <v>6.5088665058873598</v>
      </c>
      <c r="I59" s="1">
        <f t="shared" ca="1" si="2"/>
        <v>1.0290821393105405</v>
      </c>
      <c r="J59" s="1">
        <f t="shared" ca="1" si="27"/>
        <v>3.5390000000000001</v>
      </c>
      <c r="K59" s="1">
        <f t="shared" ca="1" si="28"/>
        <v>4.4066120372986717</v>
      </c>
      <c r="L59" s="1">
        <f t="shared" ca="1" si="5"/>
        <v>0.69680700762927383</v>
      </c>
      <c r="M59" s="1">
        <f t="shared" ca="1" si="29"/>
        <v>3.492</v>
      </c>
      <c r="N59" s="1">
        <f t="shared" ca="1" si="30"/>
        <v>4.8012600229095082</v>
      </c>
      <c r="O59" s="1">
        <f t="shared" ca="1" si="8"/>
        <v>0.75916380297823594</v>
      </c>
      <c r="P59" s="1">
        <f t="shared" ca="1" si="31"/>
        <v>0</v>
      </c>
      <c r="Q59" s="1">
        <f t="shared" ca="1" si="32"/>
        <v>0</v>
      </c>
      <c r="R59" s="1">
        <f t="shared" ca="1" si="11"/>
        <v>0</v>
      </c>
      <c r="S59" s="1">
        <f t="shared" ca="1" si="33"/>
        <v>0</v>
      </c>
      <c r="T59" s="1">
        <f t="shared" ca="1" si="34"/>
        <v>0</v>
      </c>
      <c r="U59" s="1">
        <f t="shared" ca="1" si="14"/>
        <v>0</v>
      </c>
      <c r="V59" s="1">
        <f t="shared" ca="1" si="35"/>
        <v>7.49</v>
      </c>
      <c r="W59" s="1">
        <f t="shared" ca="1" si="36"/>
        <v>3.3686248331108142</v>
      </c>
      <c r="X59" s="1">
        <f t="shared" ca="1" si="17"/>
        <v>0.53257676902536721</v>
      </c>
      <c r="Y59" s="1">
        <f t="shared" ca="1" si="37"/>
        <v>6.8780000000000001</v>
      </c>
      <c r="Z59" s="1">
        <f t="shared" ca="1" si="38"/>
        <v>1.9542018028496657</v>
      </c>
      <c r="AA59" s="1">
        <f t="shared" ca="1" si="20"/>
        <v>0.30895609188717649</v>
      </c>
    </row>
    <row r="60" spans="1:27" x14ac:dyDescent="0.3">
      <c r="A60" s="1">
        <v>22</v>
      </c>
      <c r="C60" s="1" t="str">
        <f t="shared" ca="1" si="21"/>
        <v>icx_w_lu4.x</v>
      </c>
      <c r="D60" s="1">
        <f t="shared" ca="1" si="22"/>
        <v>7.4859999999999998</v>
      </c>
      <c r="E60" s="1">
        <f t="shared" ca="1" si="23"/>
        <v>4.3899278653486506</v>
      </c>
      <c r="F60" s="1">
        <f t="shared" ca="1" si="24"/>
        <v>0.6940956452043815</v>
      </c>
      <c r="G60" s="1">
        <f t="shared" ca="1" si="25"/>
        <v>6.9480000000000004</v>
      </c>
      <c r="H60" s="1">
        <f t="shared" ca="1" si="26"/>
        <v>6.4211283822682779</v>
      </c>
      <c r="I60" s="1">
        <f t="shared" ca="1" si="2"/>
        <v>1.0152561888313183</v>
      </c>
      <c r="J60" s="1">
        <f t="shared" ca="1" si="27"/>
        <v>3.4860000000000002</v>
      </c>
      <c r="K60" s="1">
        <f t="shared" ca="1" si="28"/>
        <v>4.8795180722891569</v>
      </c>
      <c r="L60" s="1">
        <f t="shared" ca="1" si="5"/>
        <v>0.77137119908204244</v>
      </c>
      <c r="M60" s="1">
        <f t="shared" ca="1" si="29"/>
        <v>3.4670000000000001</v>
      </c>
      <c r="N60" s="1">
        <f t="shared" ca="1" si="30"/>
        <v>6.0876838765503312</v>
      </c>
      <c r="O60" s="1">
        <f t="shared" ca="1" si="8"/>
        <v>0.96250360542255542</v>
      </c>
      <c r="P60" s="1">
        <f t="shared" ca="1" si="31"/>
        <v>0</v>
      </c>
      <c r="Q60" s="1">
        <f t="shared" ca="1" si="32"/>
        <v>0</v>
      </c>
      <c r="R60" s="1">
        <f t="shared" ca="1" si="11"/>
        <v>0</v>
      </c>
      <c r="S60" s="1">
        <f t="shared" ca="1" si="33"/>
        <v>0</v>
      </c>
      <c r="T60" s="1">
        <f t="shared" ca="1" si="34"/>
        <v>0</v>
      </c>
      <c r="U60" s="1">
        <f t="shared" ca="1" si="14"/>
        <v>0</v>
      </c>
      <c r="V60" s="1">
        <f t="shared" ca="1" si="35"/>
        <v>7.46</v>
      </c>
      <c r="W60" s="1">
        <f t="shared" ca="1" si="36"/>
        <v>3.4966487935656838</v>
      </c>
      <c r="X60" s="1">
        <f t="shared" ca="1" si="17"/>
        <v>0.55281501340482575</v>
      </c>
      <c r="Y60" s="1">
        <f t="shared" ca="1" si="37"/>
        <v>6.835</v>
      </c>
      <c r="Z60" s="1">
        <f t="shared" ca="1" si="38"/>
        <v>1.7859546452084856</v>
      </c>
      <c r="AA60" s="1">
        <f t="shared" ca="1" si="20"/>
        <v>0.28237015362106804</v>
      </c>
    </row>
    <row r="61" spans="1:27" x14ac:dyDescent="0.3">
      <c r="A61" s="1">
        <v>23</v>
      </c>
      <c r="C61" s="1" t="str">
        <f t="shared" ca="1" si="21"/>
        <v>icx_w_lu8.x</v>
      </c>
      <c r="D61" s="1">
        <f t="shared" ca="1" si="22"/>
        <v>8.56</v>
      </c>
      <c r="E61" s="1">
        <f t="shared" ca="1" si="23"/>
        <v>3.2019859813084111</v>
      </c>
      <c r="F61" s="1">
        <f t="shared" ca="1" si="24"/>
        <v>0.50630841121495318</v>
      </c>
      <c r="G61" s="1">
        <f t="shared" ca="1" si="25"/>
        <v>9.9320000000000004</v>
      </c>
      <c r="H61" s="1">
        <f t="shared" ca="1" si="26"/>
        <v>2.7862464760370518</v>
      </c>
      <c r="I61" s="1">
        <f t="shared" ca="1" si="2"/>
        <v>0.44059605316149819</v>
      </c>
      <c r="J61" s="1">
        <f t="shared" ca="1" si="27"/>
        <v>5.5129999999999999</v>
      </c>
      <c r="K61" s="1">
        <f t="shared" ca="1" si="28"/>
        <v>1.9655360058044622</v>
      </c>
      <c r="L61" s="1">
        <f t="shared" ca="1" si="5"/>
        <v>0.3107201160892436</v>
      </c>
      <c r="M61" s="1">
        <f t="shared" ca="1" si="29"/>
        <v>3.5350000000000001</v>
      </c>
      <c r="N61" s="1">
        <f t="shared" ca="1" si="30"/>
        <v>4.9677510608203672</v>
      </c>
      <c r="O61" s="1">
        <f t="shared" ca="1" si="8"/>
        <v>0.78557284299858554</v>
      </c>
      <c r="P61" s="1">
        <f t="shared" ca="1" si="31"/>
        <v>0</v>
      </c>
      <c r="Q61" s="1">
        <f t="shared" ca="1" si="32"/>
        <v>0</v>
      </c>
      <c r="R61" s="1">
        <f t="shared" ca="1" si="11"/>
        <v>0</v>
      </c>
      <c r="S61" s="1">
        <f t="shared" ca="1" si="33"/>
        <v>0</v>
      </c>
      <c r="T61" s="1">
        <f t="shared" ca="1" si="34"/>
        <v>0</v>
      </c>
      <c r="U61" s="1">
        <f t="shared" ca="1" si="14"/>
        <v>0</v>
      </c>
      <c r="V61" s="1">
        <f t="shared" ca="1" si="35"/>
        <v>9.0060000000000002</v>
      </c>
      <c r="W61" s="1">
        <f t="shared" ca="1" si="36"/>
        <v>2.982234066178103</v>
      </c>
      <c r="X61" s="1">
        <f t="shared" ca="1" si="17"/>
        <v>0.47157450588496558</v>
      </c>
      <c r="Y61" s="1">
        <f t="shared" ca="1" si="37"/>
        <v>11.977</v>
      </c>
      <c r="Z61" s="1">
        <f t="shared" ca="1" si="38"/>
        <v>0.54379226851465301</v>
      </c>
      <c r="AA61" s="1">
        <f t="shared" ca="1" si="20"/>
        <v>8.5998163146029885E-2</v>
      </c>
    </row>
    <row r="62" spans="1:27" x14ac:dyDescent="0.3">
      <c r="A62" s="1">
        <v>24</v>
      </c>
    </row>
    <row r="63" spans="1:27" x14ac:dyDescent="0.3">
      <c r="D63" s="1">
        <v>4</v>
      </c>
      <c r="F63" s="1">
        <v>10</v>
      </c>
      <c r="H63" s="1">
        <v>16</v>
      </c>
      <c r="J63" s="1">
        <v>22</v>
      </c>
      <c r="L63" s="1">
        <v>7</v>
      </c>
      <c r="N63" s="1">
        <f>L63+6</f>
        <v>13</v>
      </c>
      <c r="P63" s="1">
        <f>N63+6</f>
        <v>19</v>
      </c>
      <c r="R63" s="1">
        <f>P63+6</f>
        <v>25</v>
      </c>
    </row>
    <row r="64" spans="1:27" ht="25" thickBot="1" x14ac:dyDescent="0.3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50" customHeight="1" thickBot="1" x14ac:dyDescent="0.35">
      <c r="B65" s="6"/>
      <c r="C65" s="26" t="s">
        <v>140</v>
      </c>
      <c r="D65" s="27" t="str" cm="1">
        <f t="array" aca="1" ref="D65" ca="1">INDIRECT(ADDRESS(ROW(D37),D63))</f>
        <v>AMD Ryzen 7 5800X</v>
      </c>
      <c r="E65" s="28"/>
      <c r="F65" s="28" t="str" cm="1">
        <f t="array" aca="1" ref="F65" ca="1">INDIRECT(ADDRESS(ROW(E37),F63))</f>
        <v>AMD EPYC Turin</v>
      </c>
      <c r="G65" s="28"/>
      <c r="H65" s="28" t="str" cm="1">
        <f t="array" aca="1" ref="H65" ca="1">INDIRECT(ADDRESS(ROW(F37),H63))</f>
        <v>Apple ARM M1 Max</v>
      </c>
      <c r="I65" s="28"/>
      <c r="J65" s="28" t="str" cm="1">
        <f t="array" aca="1" ref="J65" ca="1">INDIRECT(ADDRESS(ROW(G37),J63))</f>
        <v xml:space="preserve">Intel Xeon Platinum </v>
      </c>
      <c r="K65" s="29"/>
      <c r="L65" s="30" t="str" cm="1">
        <f t="array" aca="1" ref="L65" ca="1">INDIRECT(ADDRESS(ROW(H37),L63))</f>
        <v>AMD Ryzen 7 5800X ASE</v>
      </c>
      <c r="M65" s="31"/>
      <c r="N65" s="31" t="str" cm="1">
        <f t="array" aca="1" ref="N65" ca="1">INDIRECT(ADDRESS(ROW(I37),N63))</f>
        <v>AMD EPYC Turin ASE</v>
      </c>
      <c r="O65" s="31"/>
      <c r="P65" s="31" t="str" cm="1">
        <f t="array" aca="1" ref="P65" ca="1">INDIRECT(ADDRESS(ROW(J37),P63))</f>
        <v>Apple ARM M1 Max ASE</v>
      </c>
      <c r="Q65" s="31"/>
      <c r="R65" s="31" t="str" cm="1">
        <f t="array" aca="1" ref="R65" ca="1">INDIRECT(ADDRESS(ROW(K37),R63))</f>
        <v>Intel Xeon Platinum ASE</v>
      </c>
      <c r="S65" s="32"/>
      <c r="T65" s="6"/>
    </row>
    <row r="66" spans="1:20" x14ac:dyDescent="0.3">
      <c r="A66" s="1">
        <v>0</v>
      </c>
      <c r="B66" s="6"/>
      <c r="C66" s="42" t="str">
        <f ca="1">SUBSTITUTE(LEFT(C38,FIND(".",C38)-1),"pp","++")</f>
        <v>gfortran</v>
      </c>
      <c r="D66" s="43" cm="1">
        <f t="array" aca="1" ref="D66" ca="1">INDIRECT(ADDRESS(ROW($D$38)+$A66,D$63))</f>
        <v>8.4890000000000008</v>
      </c>
      <c r="E66" s="44" t="str" cm="1">
        <f t="array" aca="1" ref="E66" ca="1">"("&amp;TEXT(INDIRECT(ADDRESS(ROW($D$38)+$A66,D$63+2)),"0.0")&amp;"%)"</f>
        <v>(0.6%)</v>
      </c>
      <c r="F66" s="45" cm="1">
        <f t="array" aca="1" ref="F66" ca="1">INDIRECT(ADDRESS(ROW($D$38)+$A66,F$63))</f>
        <v>5.508</v>
      </c>
      <c r="G66" s="44" t="str" cm="1">
        <f t="array" aca="1" ref="G66" ca="1">"("&amp;TEXT(INDIRECT(ADDRESS(ROW($D$38)+$A66,F$63+2)),"0.0")&amp;"%)"</f>
        <v>(0.4%)</v>
      </c>
      <c r="H66" s="45" cm="1">
        <f t="array" aca="1" ref="H66" ca="1">INDIRECT(ADDRESS(ROW($D$38)+$A66,H$63))</f>
        <v>16.385999999999999</v>
      </c>
      <c r="I66" s="44" t="str" cm="1">
        <f t="array" aca="1" ref="I66" ca="1">"("&amp;TEXT(INDIRECT(ADDRESS(ROW($D$38)+$A66,H$63+2)),"0.0")&amp;"%)"</f>
        <v>(1.1%)</v>
      </c>
      <c r="J66" s="45" cm="1">
        <f t="array" aca="1" ref="J66" ca="1">INDIRECT(ADDRESS(ROW($D$38)+$A66,J$63))</f>
        <v>8.8680000000000003</v>
      </c>
      <c r="K66" s="46" t="str" cm="1">
        <f t="array" aca="1" ref="K66" ca="1">"("&amp;TEXT(INDIRECT(ADDRESS(ROW($D$38)+$A66,J$63+2)),"0.0")&amp;"%)"</f>
        <v>(0.5%)</v>
      </c>
      <c r="L66" s="47" cm="1">
        <f t="array" aca="1" ref="L66" ca="1">INDIRECT(ADDRESS(ROW($D$38)+$A66,L$63))</f>
        <v>8.5739999999999998</v>
      </c>
      <c r="M66" s="48" t="str" cm="1">
        <f t="array" aca="1" ref="M66" ca="1">"("&amp;TEXT(INDIRECT(ADDRESS(ROW($D$38)+$A66,L$63+2)),"0.0")&amp;"%)"</f>
        <v>(0.7%)</v>
      </c>
      <c r="N66" s="49" cm="1">
        <f t="array" aca="1" ref="N66" ca="1">INDIRECT(ADDRESS(ROW($D$38)+$A66,N$63))</f>
        <v>5.484</v>
      </c>
      <c r="O66" s="48" t="str" cm="1">
        <f t="array" aca="1" ref="O66" ca="1">"("&amp;TEXT(INDIRECT(ADDRESS(ROW($D$38)+$A66,N$63+2)),"0.0")&amp;"%)"</f>
        <v>(0.2%)</v>
      </c>
      <c r="P66" s="49" cm="1">
        <f t="array" aca="1" ref="P66" ca="1">INDIRECT(ADDRESS(ROW($D$38)+$A66,P$63))</f>
        <v>16.646999999999998</v>
      </c>
      <c r="Q66" s="48" t="str" cm="1">
        <f t="array" aca="1" ref="Q66" ca="1">"("&amp;TEXT(INDIRECT(ADDRESS(ROW($D$38)+$A66,P$63+2)),"0.0")&amp;"%)"</f>
        <v>(1.0%)</v>
      </c>
      <c r="R66" s="49" cm="1">
        <f t="array" aca="1" ref="R66" ca="1">INDIRECT(ADDRESS(ROW($D$38)+$A66,R$63))</f>
        <v>11.762</v>
      </c>
      <c r="S66" s="50" t="str" cm="1">
        <f t="array" aca="1" ref="S66" ca="1">"("&amp;TEXT(INDIRECT(ADDRESS(ROW($D$38)+$A66,R$63+2)),"0.0")&amp;"%)"</f>
        <v>(0.1%)</v>
      </c>
      <c r="T66" s="6"/>
    </row>
    <row r="67" spans="1:20" x14ac:dyDescent="0.3">
      <c r="A67" s="1">
        <v>1</v>
      </c>
      <c r="B67" s="6"/>
      <c r="C67" s="24" t="str">
        <f t="shared" ref="C67:C89" ca="1" si="39">SUBSTITUTE(LEFT(C39,FIND(".",C39)-1),"pp","++")</f>
        <v>gfortran_o3</v>
      </c>
      <c r="D67" s="10" cm="1">
        <f t="array" aca="1" ref="D67" ca="1">INDIRECT(ADDRESS(ROW($D$38)+$A67,D$63))</f>
        <v>8.4459999999999997</v>
      </c>
      <c r="E67" s="9" t="str" cm="1">
        <f t="array" aca="1" ref="E67" ca="1">"("&amp;TEXT(INDIRECT(ADDRESS(ROW($D$38)+$A67,D$63+2)),"0.0")&amp;"%)"</f>
        <v>(0.6%)</v>
      </c>
      <c r="F67" s="8" cm="1">
        <f t="array" aca="1" ref="F67" ca="1">INDIRECT(ADDRESS(ROW($D$38)+$A67,F$63))</f>
        <v>5.5170000000000003</v>
      </c>
      <c r="G67" s="9" t="str" cm="1">
        <f t="array" aca="1" ref="G67" ca="1">"("&amp;TEXT(INDIRECT(ADDRESS(ROW($D$38)+$A67,F$63+2)),"0.0")&amp;"%)"</f>
        <v>(0.4%)</v>
      </c>
      <c r="H67" s="8" cm="1">
        <f t="array" aca="1" ref="H67" ca="1">INDIRECT(ADDRESS(ROW($D$38)+$A67,H$63))</f>
        <v>16.292999999999999</v>
      </c>
      <c r="I67" s="9" t="str" cm="1">
        <f t="array" aca="1" ref="I67" ca="1">"("&amp;TEXT(INDIRECT(ADDRESS(ROW($D$38)+$A67,H$63+2)),"0.0")&amp;"%)"</f>
        <v>(0.8%)</v>
      </c>
      <c r="J67" s="8" cm="1">
        <f t="array" aca="1" ref="J67" ca="1">INDIRECT(ADDRESS(ROW($D$38)+$A67,J$63))</f>
        <v>8.4779999999999998</v>
      </c>
      <c r="K67" s="11" t="str" cm="1">
        <f t="array" aca="1" ref="K67" ca="1">"("&amp;TEXT(INDIRECT(ADDRESS(ROW($D$38)+$A67,J$63+2)),"0.0")&amp;"%)"</f>
        <v>(0.4%)</v>
      </c>
      <c r="L67" s="16" cm="1">
        <f t="array" aca="1" ref="L67" ca="1">INDIRECT(ADDRESS(ROW($D$38)+$A67,L$63))</f>
        <v>8.5760000000000005</v>
      </c>
      <c r="M67" s="20" t="str" cm="1">
        <f t="array" aca="1" ref="M67" ca="1">"("&amp;TEXT(INDIRECT(ADDRESS(ROW($D$38)+$A67,L$63+2)),"0.0")&amp;"%)"</f>
        <v>(0.9%)</v>
      </c>
      <c r="N67" s="17" cm="1">
        <f t="array" aca="1" ref="N67" ca="1">INDIRECT(ADDRESS(ROW($D$38)+$A67,N$63))</f>
        <v>5.617</v>
      </c>
      <c r="O67" s="20" t="str" cm="1">
        <f t="array" aca="1" ref="O67" ca="1">"("&amp;TEXT(INDIRECT(ADDRESS(ROW($D$38)+$A67,N$63+2)),"0.0")&amp;"%)"</f>
        <v>(0.3%)</v>
      </c>
      <c r="P67" s="17" cm="1">
        <f t="array" aca="1" ref="P67" ca="1">INDIRECT(ADDRESS(ROW($D$38)+$A67,P$63))</f>
        <v>15.878</v>
      </c>
      <c r="Q67" s="20" t="str" cm="1">
        <f t="array" aca="1" ref="Q67" ca="1">"("&amp;TEXT(INDIRECT(ADDRESS(ROW($D$38)+$A67,P$63+2)),"0.0")&amp;"%)"</f>
        <v>(0.9%)</v>
      </c>
      <c r="R67" s="17" cm="1">
        <f t="array" aca="1" ref="R67" ca="1">INDIRECT(ADDRESS(ROW($D$38)+$A67,R$63))</f>
        <v>8.6660000000000004</v>
      </c>
      <c r="S67" s="22" t="str" cm="1">
        <f t="array" aca="1" ref="S67" ca="1">"("&amp;TEXT(INDIRECT(ADDRESS(ROW($D$38)+$A67,R$63+2)),"0.0")&amp;"%)"</f>
        <v>(0.3%)</v>
      </c>
      <c r="T67" s="6"/>
    </row>
    <row r="68" spans="1:20" x14ac:dyDescent="0.3">
      <c r="A68" s="1">
        <v>2</v>
      </c>
      <c r="B68" s="6"/>
      <c r="C68" s="24" t="str">
        <f t="shared" ca="1" si="39"/>
        <v>gfortran_w_lu2</v>
      </c>
      <c r="D68" s="10" cm="1">
        <f t="array" aca="1" ref="D68" ca="1">INDIRECT(ADDRESS(ROW($D$38)+$A68,D$63))</f>
        <v>8.3719999999999999</v>
      </c>
      <c r="E68" s="9" t="str" cm="1">
        <f t="array" aca="1" ref="E68" ca="1">"("&amp;TEXT(INDIRECT(ADDRESS(ROW($D$38)+$A68,D$63+2)),"0.0")&amp;"%)"</f>
        <v>(0.4%)</v>
      </c>
      <c r="F68" s="8" cm="1">
        <f t="array" aca="1" ref="F68" ca="1">INDIRECT(ADDRESS(ROW($D$38)+$A68,F$63))</f>
        <v>5.4560000000000004</v>
      </c>
      <c r="G68" s="9" t="str" cm="1">
        <f t="array" aca="1" ref="G68" ca="1">"("&amp;TEXT(INDIRECT(ADDRESS(ROW($D$38)+$A68,F$63+2)),"0.0")&amp;"%)"</f>
        <v>(0.3%)</v>
      </c>
      <c r="H68" s="8" cm="1">
        <f t="array" aca="1" ref="H68" ca="1">INDIRECT(ADDRESS(ROW($D$38)+$A68,H$63))</f>
        <v>16.105</v>
      </c>
      <c r="I68" s="9" t="str" cm="1">
        <f t="array" aca="1" ref="I68" ca="1">"("&amp;TEXT(INDIRECT(ADDRESS(ROW($D$38)+$A68,H$63+2)),"0.0")&amp;"%)"</f>
        <v>(0.9%)</v>
      </c>
      <c r="J68" s="8" cm="1">
        <f t="array" aca="1" ref="J68" ca="1">INDIRECT(ADDRESS(ROW($D$38)+$A68,J$63))</f>
        <v>8.5050000000000008</v>
      </c>
      <c r="K68" s="11" t="str" cm="1">
        <f t="array" aca="1" ref="K68" ca="1">"("&amp;TEXT(INDIRECT(ADDRESS(ROW($D$38)+$A68,J$63+2)),"0.0")&amp;"%)"</f>
        <v>(0.5%)</v>
      </c>
      <c r="L68" s="16" cm="1">
        <f t="array" aca="1" ref="L68" ca="1">INDIRECT(ADDRESS(ROW($D$38)+$A68,L$63))</f>
        <v>8.4809999999999999</v>
      </c>
      <c r="M68" s="20" t="str" cm="1">
        <f t="array" aca="1" ref="M68" ca="1">"("&amp;TEXT(INDIRECT(ADDRESS(ROW($D$38)+$A68,L$63+2)),"0.0")&amp;"%)"</f>
        <v>(0.7%)</v>
      </c>
      <c r="N68" s="17" cm="1">
        <f t="array" aca="1" ref="N68" ca="1">INDIRECT(ADDRESS(ROW($D$38)+$A68,N$63))</f>
        <v>5.4859999999999998</v>
      </c>
      <c r="O68" s="20" t="str" cm="1">
        <f t="array" aca="1" ref="O68" ca="1">"("&amp;TEXT(INDIRECT(ADDRESS(ROW($D$38)+$A68,N$63+2)),"0.0")&amp;"%)"</f>
        <v>(0.3%)</v>
      </c>
      <c r="P68" s="17" cm="1">
        <f t="array" aca="1" ref="P68" ca="1">INDIRECT(ADDRESS(ROW($D$38)+$A68,P$63))</f>
        <v>17.117999999999999</v>
      </c>
      <c r="Q68" s="20" t="str" cm="1">
        <f t="array" aca="1" ref="Q68" ca="1">"("&amp;TEXT(INDIRECT(ADDRESS(ROW($D$38)+$A68,P$63+2)),"0.0")&amp;"%)"</f>
        <v>(1.8%)</v>
      </c>
      <c r="R68" s="17" cm="1">
        <f t="array" aca="1" ref="R68" ca="1">INDIRECT(ADDRESS(ROW($D$38)+$A68,R$63))</f>
        <v>8.5079999999999991</v>
      </c>
      <c r="S68" s="22" t="str" cm="1">
        <f t="array" aca="1" ref="S68" ca="1">"("&amp;TEXT(INDIRECT(ADDRESS(ROW($D$38)+$A68,R$63+2)),"0.0")&amp;"%)"</f>
        <v>(0.4%)</v>
      </c>
      <c r="T68" s="6"/>
    </row>
    <row r="69" spans="1:20" x14ac:dyDescent="0.3">
      <c r="A69" s="1">
        <v>3</v>
      </c>
      <c r="B69" s="6"/>
      <c r="C69" s="24" t="str">
        <f t="shared" ca="1" si="39"/>
        <v>gfortran_w_lu2_o3</v>
      </c>
      <c r="D69" s="10" cm="1">
        <f t="array" aca="1" ref="D69" ca="1">INDIRECT(ADDRESS(ROW($D$38)+$A69,D$63))</f>
        <v>8.6020000000000003</v>
      </c>
      <c r="E69" s="9" t="str" cm="1">
        <f t="array" aca="1" ref="E69" ca="1">"("&amp;TEXT(INDIRECT(ADDRESS(ROW($D$38)+$A69,D$63+2)),"0.0")&amp;"%)"</f>
        <v>(0.7%)</v>
      </c>
      <c r="F69" s="8" cm="1">
        <f t="array" aca="1" ref="F69" ca="1">INDIRECT(ADDRESS(ROW($D$38)+$A69,F$63))</f>
        <v>5.46</v>
      </c>
      <c r="G69" s="9" t="str" cm="1">
        <f t="array" aca="1" ref="G69" ca="1">"("&amp;TEXT(INDIRECT(ADDRESS(ROW($D$38)+$A69,F$63+2)),"0.0")&amp;"%)"</f>
        <v>(0.3%)</v>
      </c>
      <c r="H69" s="8" cm="1">
        <f t="array" aca="1" ref="H69" ca="1">INDIRECT(ADDRESS(ROW($D$38)+$A69,H$63))</f>
        <v>16.638000000000002</v>
      </c>
      <c r="I69" s="9" t="str" cm="1">
        <f t="array" aca="1" ref="I69" ca="1">"("&amp;TEXT(INDIRECT(ADDRESS(ROW($D$38)+$A69,H$63+2)),"0.0")&amp;"%)"</f>
        <v>(1.1%)</v>
      </c>
      <c r="J69" s="8" cm="1">
        <f t="array" aca="1" ref="J69" ca="1">INDIRECT(ADDRESS(ROW($D$38)+$A69,J$63))</f>
        <v>8.5139999999999993</v>
      </c>
      <c r="K69" s="11" t="str" cm="1">
        <f t="array" aca="1" ref="K69" ca="1">"("&amp;TEXT(INDIRECT(ADDRESS(ROW($D$38)+$A69,J$63+2)),"0.0")&amp;"%)"</f>
        <v>(0.4%)</v>
      </c>
      <c r="L69" s="16" cm="1">
        <f t="array" aca="1" ref="L69" ca="1">INDIRECT(ADDRESS(ROW($D$38)+$A69,L$63))</f>
        <v>8.423</v>
      </c>
      <c r="M69" s="20" t="str" cm="1">
        <f t="array" aca="1" ref="M69" ca="1">"("&amp;TEXT(INDIRECT(ADDRESS(ROW($D$38)+$A69,L$63+2)),"0.0")&amp;"%)"</f>
        <v>(0.7%)</v>
      </c>
      <c r="N69" s="17" cm="1">
        <f t="array" aca="1" ref="N69" ca="1">INDIRECT(ADDRESS(ROW($D$38)+$A69,N$63))</f>
        <v>5.6</v>
      </c>
      <c r="O69" s="20" t="str" cm="1">
        <f t="array" aca="1" ref="O69" ca="1">"("&amp;TEXT(INDIRECT(ADDRESS(ROW($D$38)+$A69,N$63+2)),"0.0")&amp;"%)"</f>
        <v>(0.3%)</v>
      </c>
      <c r="P69" s="17" cm="1">
        <f t="array" aca="1" ref="P69" ca="1">INDIRECT(ADDRESS(ROW($D$38)+$A69,P$63))</f>
        <v>15.162000000000001</v>
      </c>
      <c r="Q69" s="20" t="str" cm="1">
        <f t="array" aca="1" ref="Q69" ca="1">"("&amp;TEXT(INDIRECT(ADDRESS(ROW($D$38)+$A69,P$63+2)),"0.0")&amp;"%)"</f>
        <v>(1.3%)</v>
      </c>
      <c r="R69" s="17" cm="1">
        <f t="array" aca="1" ref="R69" ca="1">INDIRECT(ADDRESS(ROW($D$38)+$A69,R$63))</f>
        <v>8.6880000000000006</v>
      </c>
      <c r="S69" s="22" t="str" cm="1">
        <f t="array" aca="1" ref="S69" ca="1">"("&amp;TEXT(INDIRECT(ADDRESS(ROW($D$38)+$A69,R$63+2)),"0.0")&amp;"%)"</f>
        <v>(0.3%)</v>
      </c>
      <c r="T69" s="6"/>
    </row>
    <row r="70" spans="1:20" x14ac:dyDescent="0.3">
      <c r="A70" s="1">
        <v>4</v>
      </c>
      <c r="B70" s="6"/>
      <c r="C70" s="24" t="str">
        <f t="shared" ca="1" si="39"/>
        <v>gfortran_w_lu4</v>
      </c>
      <c r="D70" s="10" cm="1">
        <f t="array" aca="1" ref="D70" ca="1">INDIRECT(ADDRESS(ROW($D$38)+$A70,D$63))</f>
        <v>8.4909999999999997</v>
      </c>
      <c r="E70" s="9" t="str" cm="1">
        <f t="array" aca="1" ref="E70" ca="1">"("&amp;TEXT(INDIRECT(ADDRESS(ROW($D$38)+$A70,D$63+2)),"0.0")&amp;"%)"</f>
        <v>(0.7%)</v>
      </c>
      <c r="F70" s="8" cm="1">
        <f t="array" aca="1" ref="F70" ca="1">INDIRECT(ADDRESS(ROW($D$38)+$A70,F$63))</f>
        <v>5.5039999999999996</v>
      </c>
      <c r="G70" s="9" t="str" cm="1">
        <f t="array" aca="1" ref="G70" ca="1">"("&amp;TEXT(INDIRECT(ADDRESS(ROW($D$38)+$A70,F$63+2)),"0.0")&amp;"%)"</f>
        <v>(0.3%)</v>
      </c>
      <c r="H70" s="8" cm="1">
        <f t="array" aca="1" ref="H70" ca="1">INDIRECT(ADDRESS(ROW($D$38)+$A70,H$63))</f>
        <v>13.443</v>
      </c>
      <c r="I70" s="9" t="str" cm="1">
        <f t="array" aca="1" ref="I70" ca="1">"("&amp;TEXT(INDIRECT(ADDRESS(ROW($D$38)+$A70,H$63+2)),"0.0")&amp;"%)"</f>
        <v>(1.3%)</v>
      </c>
      <c r="J70" s="8" cm="1">
        <f t="array" aca="1" ref="J70" ca="1">INDIRECT(ADDRESS(ROW($D$38)+$A70,J$63))</f>
        <v>8.1929999999999996</v>
      </c>
      <c r="K70" s="11" t="str" cm="1">
        <f t="array" aca="1" ref="K70" ca="1">"("&amp;TEXT(INDIRECT(ADDRESS(ROW($D$38)+$A70,J$63+2)),"0.0")&amp;"%)"</f>
        <v>(0.6%)</v>
      </c>
      <c r="L70" s="16" cm="1">
        <f t="array" aca="1" ref="L70" ca="1">INDIRECT(ADDRESS(ROW($D$38)+$A70,L$63))</f>
        <v>8.468</v>
      </c>
      <c r="M70" s="20" t="str" cm="1">
        <f t="array" aca="1" ref="M70" ca="1">"("&amp;TEXT(INDIRECT(ADDRESS(ROW($D$38)+$A70,L$63+2)),"0.0")&amp;"%)"</f>
        <v>(0.7%)</v>
      </c>
      <c r="N70" s="17" cm="1">
        <f t="array" aca="1" ref="N70" ca="1">INDIRECT(ADDRESS(ROW($D$38)+$A70,N$63))</f>
        <v>5.46</v>
      </c>
      <c r="O70" s="20" t="str" cm="1">
        <f t="array" aca="1" ref="O70" ca="1">"("&amp;TEXT(INDIRECT(ADDRESS(ROW($D$38)+$A70,N$63+2)),"0.0")&amp;"%)"</f>
        <v>(0.1%)</v>
      </c>
      <c r="P70" s="17" cm="1">
        <f t="array" aca="1" ref="P70" ca="1">INDIRECT(ADDRESS(ROW($D$38)+$A70,P$63))</f>
        <v>11.683999999999999</v>
      </c>
      <c r="Q70" s="20" t="str" cm="1">
        <f t="array" aca="1" ref="Q70" ca="1">"("&amp;TEXT(INDIRECT(ADDRESS(ROW($D$38)+$A70,P$63+2)),"0.0")&amp;"%)"</f>
        <v>(0.8%)</v>
      </c>
      <c r="R70" s="17" cm="1">
        <f t="array" aca="1" ref="R70" ca="1">INDIRECT(ADDRESS(ROW($D$38)+$A70,R$63))</f>
        <v>8.6769999999999996</v>
      </c>
      <c r="S70" s="22" t="str" cm="1">
        <f t="array" aca="1" ref="S70" ca="1">"("&amp;TEXT(INDIRECT(ADDRESS(ROW($D$38)+$A70,R$63+2)),"0.0")&amp;"%)"</f>
        <v>(0.6%)</v>
      </c>
      <c r="T70" s="6"/>
    </row>
    <row r="71" spans="1:20" x14ac:dyDescent="0.3">
      <c r="A71" s="1">
        <v>5</v>
      </c>
      <c r="B71" s="6"/>
      <c r="C71" s="24" t="str">
        <f t="shared" ca="1" si="39"/>
        <v>gfortran_w_lu8</v>
      </c>
      <c r="D71" s="10" cm="1">
        <f t="array" aca="1" ref="D71" ca="1">INDIRECT(ADDRESS(ROW($D$38)+$A71,D$63))</f>
        <v>8.4960000000000004</v>
      </c>
      <c r="E71" s="9" t="str" cm="1">
        <f t="array" aca="1" ref="E71" ca="1">"("&amp;TEXT(INDIRECT(ADDRESS(ROW($D$38)+$A71,D$63+2)),"0.0")&amp;"%)"</f>
        <v>(0.8%)</v>
      </c>
      <c r="F71" s="8" cm="1">
        <f t="array" aca="1" ref="F71" ca="1">INDIRECT(ADDRESS(ROW($D$38)+$A71,F$63))</f>
        <v>5.4480000000000004</v>
      </c>
      <c r="G71" s="9" t="str" cm="1">
        <f t="array" aca="1" ref="G71" ca="1">"("&amp;TEXT(INDIRECT(ADDRESS(ROW($D$38)+$A71,F$63+2)),"0.0")&amp;"%)"</f>
        <v>(0.1%)</v>
      </c>
      <c r="H71" s="8" cm="1">
        <f t="array" aca="1" ref="H71" ca="1">INDIRECT(ADDRESS(ROW($D$38)+$A71,H$63))</f>
        <v>13.507</v>
      </c>
      <c r="I71" s="9" t="str" cm="1">
        <f t="array" aca="1" ref="I71" ca="1">"("&amp;TEXT(INDIRECT(ADDRESS(ROW($D$38)+$A71,H$63+2)),"0.0")&amp;"%)"</f>
        <v>(1.4%)</v>
      </c>
      <c r="J71" s="8" cm="1">
        <f t="array" aca="1" ref="J71" ca="1">INDIRECT(ADDRESS(ROW($D$38)+$A71,J$63))</f>
        <v>8.2959999999999994</v>
      </c>
      <c r="K71" s="11" t="str" cm="1">
        <f t="array" aca="1" ref="K71" ca="1">"("&amp;TEXT(INDIRECT(ADDRESS(ROW($D$38)+$A71,J$63+2)),"0.0")&amp;"%)"</f>
        <v>(0.4%)</v>
      </c>
      <c r="L71" s="16" cm="1">
        <f t="array" aca="1" ref="L71" ca="1">INDIRECT(ADDRESS(ROW($D$38)+$A71,L$63))</f>
        <v>8.4789999999999992</v>
      </c>
      <c r="M71" s="20" t="str" cm="1">
        <f t="array" aca="1" ref="M71" ca="1">"("&amp;TEXT(INDIRECT(ADDRESS(ROW($D$38)+$A71,L$63+2)),"0.0")&amp;"%)"</f>
        <v>(1.0%)</v>
      </c>
      <c r="N71" s="17" cm="1">
        <f t="array" aca="1" ref="N71" ca="1">INDIRECT(ADDRESS(ROW($D$38)+$A71,N$63))</f>
        <v>5.5869999999999997</v>
      </c>
      <c r="O71" s="20" t="str" cm="1">
        <f t="array" aca="1" ref="O71" ca="1">"("&amp;TEXT(INDIRECT(ADDRESS(ROW($D$38)+$A71,N$63+2)),"0.0")&amp;"%)"</f>
        <v>(0.3%)</v>
      </c>
      <c r="P71" s="17" cm="1">
        <f t="array" aca="1" ref="P71" ca="1">INDIRECT(ADDRESS(ROW($D$38)+$A71,P$63))</f>
        <v>12.634</v>
      </c>
      <c r="Q71" s="20" t="str" cm="1">
        <f t="array" aca="1" ref="Q71" ca="1">"("&amp;TEXT(INDIRECT(ADDRESS(ROW($D$38)+$A71,P$63+2)),"0.0")&amp;"%)"</f>
        <v>(1.1%)</v>
      </c>
      <c r="R71" s="17" cm="1">
        <f t="array" aca="1" ref="R71" ca="1">INDIRECT(ADDRESS(ROW($D$38)+$A71,R$63))</f>
        <v>8.5640000000000001</v>
      </c>
      <c r="S71" s="22" t="str" cm="1">
        <f t="array" aca="1" ref="S71" ca="1">"("&amp;TEXT(INDIRECT(ADDRESS(ROW($D$38)+$A71,R$63+2)),"0.0")&amp;"%)"</f>
        <v>(0.4%)</v>
      </c>
      <c r="T71" s="6"/>
    </row>
    <row r="72" spans="1:20" x14ac:dyDescent="0.3">
      <c r="A72" s="1">
        <v>6</v>
      </c>
      <c r="B72" s="6"/>
      <c r="C72" s="24" t="str">
        <f t="shared" ca="1" si="39"/>
        <v>ifx</v>
      </c>
      <c r="D72" s="10" cm="1">
        <f t="array" aca="1" ref="D72" ca="1">INDIRECT(ADDRESS(ROW($D$38)+$A72,D$63))</f>
        <v>7.1</v>
      </c>
      <c r="E72" s="9" t="str" cm="1">
        <f t="array" aca="1" ref="E72" ca="1">"("&amp;TEXT(INDIRECT(ADDRESS(ROW($D$38)+$A72,D$63+2)),"0.0")&amp;"%)"</f>
        <v>(1.9%)</v>
      </c>
      <c r="F72" s="8" cm="1">
        <f t="array" aca="1" ref="F72" ca="1">INDIRECT(ADDRESS(ROW($D$38)+$A72,F$63))</f>
        <v>3.6749999999999998</v>
      </c>
      <c r="G72" s="9" t="str" cm="1">
        <f t="array" aca="1" ref="G72" ca="1">"("&amp;TEXT(INDIRECT(ADDRESS(ROW($D$38)+$A72,F$63+2)),"0.0")&amp;"%)"</f>
        <v>(0.6%)</v>
      </c>
      <c r="H72" s="8" cm="1">
        <f t="array" aca="1" ref="H72" ca="1">INDIRECT(ADDRESS(ROW($D$38)+$A72,H$63))</f>
        <v>0</v>
      </c>
      <c r="I72" s="9" t="str" cm="1">
        <f t="array" aca="1" ref="I72" ca="1">"("&amp;TEXT(INDIRECT(ADDRESS(ROW($D$38)+$A72,H$63+2)),"0.0")&amp;"%)"</f>
        <v>(0.0%)</v>
      </c>
      <c r="J72" s="8" cm="1">
        <f t="array" aca="1" ref="J72" ca="1">INDIRECT(ADDRESS(ROW($D$38)+$A72,J$63))</f>
        <v>7.9619999999999997</v>
      </c>
      <c r="K72" s="11" t="str" cm="1">
        <f t="array" aca="1" ref="K72" ca="1">"("&amp;TEXT(INDIRECT(ADDRESS(ROW($D$38)+$A72,J$63+2)),"0.0")&amp;"%)"</f>
        <v>(0.6%)</v>
      </c>
      <c r="L72" s="16" cm="1">
        <f t="array" aca="1" ref="L72" ca="1">INDIRECT(ADDRESS(ROW($D$38)+$A72,L$63))</f>
        <v>8.125</v>
      </c>
      <c r="M72" s="20" t="str" cm="1">
        <f t="array" aca="1" ref="M72" ca="1">"("&amp;TEXT(INDIRECT(ADDRESS(ROW($D$38)+$A72,L$63+2)),"0.0")&amp;"%)"</f>
        <v>(5.0%)</v>
      </c>
      <c r="N72" s="17" cm="1">
        <f t="array" aca="1" ref="N72" ca="1">INDIRECT(ADDRESS(ROW($D$38)+$A72,N$63))</f>
        <v>3.4660000000000002</v>
      </c>
      <c r="O72" s="20" t="str" cm="1">
        <f t="array" aca="1" ref="O72" ca="1">"("&amp;TEXT(INDIRECT(ADDRESS(ROW($D$38)+$A72,N$63+2)),"0.0")&amp;"%)"</f>
        <v>(0.8%)</v>
      </c>
      <c r="P72" s="17" cm="1">
        <f t="array" aca="1" ref="P72" ca="1">INDIRECT(ADDRESS(ROW($D$38)+$A72,P$63))</f>
        <v>0</v>
      </c>
      <c r="Q72" s="20" t="str" cm="1">
        <f t="array" aca="1" ref="Q72" ca="1">"("&amp;TEXT(INDIRECT(ADDRESS(ROW($D$38)+$A72,P$63+2)),"0.0")&amp;"%)"</f>
        <v>(0.0%)</v>
      </c>
      <c r="R72" s="17" cm="1">
        <f t="array" aca="1" ref="R72" ca="1">INDIRECT(ADDRESS(ROW($D$38)+$A72,R$63))</f>
        <v>6.8849999999999998</v>
      </c>
      <c r="S72" s="22" t="str" cm="1">
        <f t="array" aca="1" ref="S72" ca="1">"("&amp;TEXT(INDIRECT(ADDRESS(ROW($D$38)+$A72,R$63+2)),"0.0")&amp;"%)"</f>
        <v>(0.4%)</v>
      </c>
      <c r="T72" s="6"/>
    </row>
    <row r="73" spans="1:20" x14ac:dyDescent="0.3">
      <c r="A73" s="1">
        <v>7</v>
      </c>
      <c r="B73" s="6"/>
      <c r="C73" s="24" t="str">
        <f t="shared" ca="1" si="39"/>
        <v>ifx_o3</v>
      </c>
      <c r="D73" s="10" cm="1">
        <f t="array" aca="1" ref="D73" ca="1">INDIRECT(ADDRESS(ROW($D$38)+$A73,D$63))</f>
        <v>7.9</v>
      </c>
      <c r="E73" s="9" t="str" cm="1">
        <f t="array" aca="1" ref="E73" ca="1">"("&amp;TEXT(INDIRECT(ADDRESS(ROW($D$38)+$A73,D$63+2)),"0.0")&amp;"%)"</f>
        <v>(2.3%)</v>
      </c>
      <c r="F73" s="8" cm="1">
        <f t="array" aca="1" ref="F73" ca="1">INDIRECT(ADDRESS(ROW($D$38)+$A73,F$63))</f>
        <v>5.4930000000000003</v>
      </c>
      <c r="G73" s="9" t="str" cm="1">
        <f t="array" aca="1" ref="G73" ca="1">"("&amp;TEXT(INDIRECT(ADDRESS(ROW($D$38)+$A73,F$63+2)),"0.0")&amp;"%)"</f>
        <v>(0.3%)</v>
      </c>
      <c r="H73" s="8" cm="1">
        <f t="array" aca="1" ref="H73" ca="1">INDIRECT(ADDRESS(ROW($D$38)+$A73,H$63))</f>
        <v>0</v>
      </c>
      <c r="I73" s="9" t="str" cm="1">
        <f t="array" aca="1" ref="I73" ca="1">"("&amp;TEXT(INDIRECT(ADDRESS(ROW($D$38)+$A73,H$63+2)),"0.0")&amp;"%)"</f>
        <v>(0.0%)</v>
      </c>
      <c r="J73" s="8" cm="1">
        <f t="array" aca="1" ref="J73" ca="1">INDIRECT(ADDRESS(ROW($D$38)+$A73,J$63))</f>
        <v>8.6069999999999993</v>
      </c>
      <c r="K73" s="11" t="str" cm="1">
        <f t="array" aca="1" ref="K73" ca="1">"("&amp;TEXT(INDIRECT(ADDRESS(ROW($D$38)+$A73,J$63+2)),"0.0")&amp;"%)"</f>
        <v>(0.4%)</v>
      </c>
      <c r="L73" s="16" cm="1">
        <f t="array" aca="1" ref="L73" ca="1">INDIRECT(ADDRESS(ROW($D$38)+$A73,L$63))</f>
        <v>7.75</v>
      </c>
      <c r="M73" s="20" t="str" cm="1">
        <f t="array" aca="1" ref="M73" ca="1">"("&amp;TEXT(INDIRECT(ADDRESS(ROW($D$38)+$A73,L$63+2)),"0.0")&amp;"%)"</f>
        <v>(4.3%)</v>
      </c>
      <c r="N73" s="17" cm="1">
        <f t="array" aca="1" ref="N73" ca="1">INDIRECT(ADDRESS(ROW($D$38)+$A73,N$63))</f>
        <v>3.5209999999999999</v>
      </c>
      <c r="O73" s="20" t="str" cm="1">
        <f t="array" aca="1" ref="O73" ca="1">"("&amp;TEXT(INDIRECT(ADDRESS(ROW($D$38)+$A73,N$63+2)),"0.0")&amp;"%)"</f>
        <v>(0.8%)</v>
      </c>
      <c r="P73" s="17" cm="1">
        <f t="array" aca="1" ref="P73" ca="1">INDIRECT(ADDRESS(ROW($D$38)+$A73,P$63))</f>
        <v>0</v>
      </c>
      <c r="Q73" s="20" t="str" cm="1">
        <f t="array" aca="1" ref="Q73" ca="1">"("&amp;TEXT(INDIRECT(ADDRESS(ROW($D$38)+$A73,P$63+2)),"0.0")&amp;"%)"</f>
        <v>(0.0%)</v>
      </c>
      <c r="R73" s="17" cm="1">
        <f t="array" aca="1" ref="R73" ca="1">INDIRECT(ADDRESS(ROW($D$38)+$A73,R$63))</f>
        <v>6.83</v>
      </c>
      <c r="S73" s="22" t="str" cm="1">
        <f t="array" aca="1" ref="S73" ca="1">"("&amp;TEXT(INDIRECT(ADDRESS(ROW($D$38)+$A73,R$63+2)),"0.0")&amp;"%)"</f>
        <v>(0.3%)</v>
      </c>
      <c r="T73" s="6"/>
    </row>
    <row r="74" spans="1:20" x14ac:dyDescent="0.3">
      <c r="A74" s="1">
        <v>8</v>
      </c>
      <c r="B74" s="6"/>
      <c r="C74" s="24" t="str">
        <f t="shared" ca="1" si="39"/>
        <v>ifx_w_lu2</v>
      </c>
      <c r="D74" s="10" cm="1">
        <f t="array" aca="1" ref="D74" ca="1">INDIRECT(ADDRESS(ROW($D$38)+$A74,D$63))</f>
        <v>7.2249999999999996</v>
      </c>
      <c r="E74" s="9" t="str" cm="1">
        <f t="array" aca="1" ref="E74" ca="1">"("&amp;TEXT(INDIRECT(ADDRESS(ROW($D$38)+$A74,D$63+2)),"0.0")&amp;"%)"</f>
        <v>(3.1%)</v>
      </c>
      <c r="F74" s="8" cm="1">
        <f t="array" aca="1" ref="F74" ca="1">INDIRECT(ADDRESS(ROW($D$38)+$A74,F$63))</f>
        <v>3.7</v>
      </c>
      <c r="G74" s="9" t="str" cm="1">
        <f t="array" aca="1" ref="G74" ca="1">"("&amp;TEXT(INDIRECT(ADDRESS(ROW($D$38)+$A74,F$63+2)),"0.0")&amp;"%)"</f>
        <v>(0.5%)</v>
      </c>
      <c r="H74" s="8" cm="1">
        <f t="array" aca="1" ref="H74" ca="1">INDIRECT(ADDRESS(ROW($D$38)+$A74,H$63))</f>
        <v>0</v>
      </c>
      <c r="I74" s="9" t="str" cm="1">
        <f t="array" aca="1" ref="I74" ca="1">"("&amp;TEXT(INDIRECT(ADDRESS(ROW($D$38)+$A74,H$63+2)),"0.0")&amp;"%)"</f>
        <v>(0.0%)</v>
      </c>
      <c r="J74" s="8" cm="1">
        <f t="array" aca="1" ref="J74" ca="1">INDIRECT(ADDRESS(ROW($D$38)+$A74,J$63))</f>
        <v>7.7869999999999999</v>
      </c>
      <c r="K74" s="11" t="str" cm="1">
        <f t="array" aca="1" ref="K74" ca="1">"("&amp;TEXT(INDIRECT(ADDRESS(ROW($D$38)+$A74,J$63+2)),"0.0")&amp;"%)"</f>
        <v>(0.7%)</v>
      </c>
      <c r="L74" s="16" cm="1">
        <f t="array" aca="1" ref="L74" ca="1">INDIRECT(ADDRESS(ROW($D$38)+$A74,L$63))</f>
        <v>7.2</v>
      </c>
      <c r="M74" s="20" t="str" cm="1">
        <f t="array" aca="1" ref="M74" ca="1">"("&amp;TEXT(INDIRECT(ADDRESS(ROW($D$38)+$A74,L$63+2)),"0.0")&amp;"%)"</f>
        <v>(1.7%)</v>
      </c>
      <c r="N74" s="17" cm="1">
        <f t="array" aca="1" ref="N74" ca="1">INDIRECT(ADDRESS(ROW($D$38)+$A74,N$63))</f>
        <v>3.456</v>
      </c>
      <c r="O74" s="20" t="str" cm="1">
        <f t="array" aca="1" ref="O74" ca="1">"("&amp;TEXT(INDIRECT(ADDRESS(ROW($D$38)+$A74,N$63+2)),"0.0")&amp;"%)"</f>
        <v>(0.4%)</v>
      </c>
      <c r="P74" s="17" cm="1">
        <f t="array" aca="1" ref="P74" ca="1">INDIRECT(ADDRESS(ROW($D$38)+$A74,P$63))</f>
        <v>0</v>
      </c>
      <c r="Q74" s="20" t="str" cm="1">
        <f t="array" aca="1" ref="Q74" ca="1">"("&amp;TEXT(INDIRECT(ADDRESS(ROW($D$38)+$A74,P$63+2)),"0.0")&amp;"%)"</f>
        <v>(0.0%)</v>
      </c>
      <c r="R74" s="17" cm="1">
        <f t="array" aca="1" ref="R74" ca="1">INDIRECT(ADDRESS(ROW($D$38)+$A74,R$63))</f>
        <v>6.875</v>
      </c>
      <c r="S74" s="22" t="str" cm="1">
        <f t="array" aca="1" ref="S74" ca="1">"("&amp;TEXT(INDIRECT(ADDRESS(ROW($D$38)+$A74,R$63+2)),"0.0")&amp;"%)"</f>
        <v>(0.4%)</v>
      </c>
      <c r="T74" s="6"/>
    </row>
    <row r="75" spans="1:20" x14ac:dyDescent="0.3">
      <c r="A75" s="1">
        <v>9</v>
      </c>
      <c r="B75" s="6"/>
      <c r="C75" s="24" t="str">
        <f t="shared" ca="1" si="39"/>
        <v>ifx_w_lu2_o3</v>
      </c>
      <c r="D75" s="10" cm="1">
        <f t="array" aca="1" ref="D75" ca="1">INDIRECT(ADDRESS(ROW($D$38)+$A75,D$63))</f>
        <v>7.6</v>
      </c>
      <c r="E75" s="9" t="str" cm="1">
        <f t="array" aca="1" ref="E75" ca="1">"("&amp;TEXT(INDIRECT(ADDRESS(ROW($D$38)+$A75,D$63+2)),"0.0")&amp;"%)"</f>
        <v>(1.7%)</v>
      </c>
      <c r="F75" s="8" cm="1">
        <f t="array" aca="1" ref="F75" ca="1">INDIRECT(ADDRESS(ROW($D$38)+$A75,F$63))</f>
        <v>5.4859999999999998</v>
      </c>
      <c r="G75" s="9" t="str" cm="1">
        <f t="array" aca="1" ref="G75" ca="1">"("&amp;TEXT(INDIRECT(ADDRESS(ROW($D$38)+$A75,F$63+2)),"0.0")&amp;"%)"</f>
        <v>(0.3%)</v>
      </c>
      <c r="H75" s="8" cm="1">
        <f t="array" aca="1" ref="H75" ca="1">INDIRECT(ADDRESS(ROW($D$38)+$A75,H$63))</f>
        <v>0</v>
      </c>
      <c r="I75" s="9" t="str" cm="1">
        <f t="array" aca="1" ref="I75" ca="1">"("&amp;TEXT(INDIRECT(ADDRESS(ROW($D$38)+$A75,H$63+2)),"0.0")&amp;"%)"</f>
        <v>(0.0%)</v>
      </c>
      <c r="J75" s="8" cm="1">
        <f t="array" aca="1" ref="J75" ca="1">INDIRECT(ADDRESS(ROW($D$38)+$A75,J$63))</f>
        <v>8.5139999999999993</v>
      </c>
      <c r="K75" s="11" t="str" cm="1">
        <f t="array" aca="1" ref="K75" ca="1">"("&amp;TEXT(INDIRECT(ADDRESS(ROW($D$38)+$A75,J$63+2)),"0.0")&amp;"%)"</f>
        <v>(0.5%)</v>
      </c>
      <c r="L75" s="16" cm="1">
        <f t="array" aca="1" ref="L75" ca="1">INDIRECT(ADDRESS(ROW($D$38)+$A75,L$63))</f>
        <v>7.15</v>
      </c>
      <c r="M75" s="20" t="str" cm="1">
        <f t="array" aca="1" ref="M75" ca="1">"("&amp;TEXT(INDIRECT(ADDRESS(ROW($D$38)+$A75,L$63+2)),"0.0")&amp;"%)"</f>
        <v>(2.7%)</v>
      </c>
      <c r="N75" s="17" cm="1">
        <f t="array" aca="1" ref="N75" ca="1">INDIRECT(ADDRESS(ROW($D$38)+$A75,N$63))</f>
        <v>3.4689999999999999</v>
      </c>
      <c r="O75" s="20" t="str" cm="1">
        <f t="array" aca="1" ref="O75" ca="1">"("&amp;TEXT(INDIRECT(ADDRESS(ROW($D$38)+$A75,N$63+2)),"0.0")&amp;"%)"</f>
        <v>(0.8%)</v>
      </c>
      <c r="P75" s="17" cm="1">
        <f t="array" aca="1" ref="P75" ca="1">INDIRECT(ADDRESS(ROW($D$38)+$A75,P$63))</f>
        <v>0</v>
      </c>
      <c r="Q75" s="20" t="str" cm="1">
        <f t="array" aca="1" ref="Q75" ca="1">"("&amp;TEXT(INDIRECT(ADDRESS(ROW($D$38)+$A75,P$63+2)),"0.0")&amp;"%)"</f>
        <v>(0.0%)</v>
      </c>
      <c r="R75" s="17" cm="1">
        <f t="array" aca="1" ref="R75" ca="1">INDIRECT(ADDRESS(ROW($D$38)+$A75,R$63))</f>
        <v>6.875</v>
      </c>
      <c r="S75" s="22" t="str" cm="1">
        <f t="array" aca="1" ref="S75" ca="1">"("&amp;TEXT(INDIRECT(ADDRESS(ROW($D$38)+$A75,R$63+2)),"0.0")&amp;"%)"</f>
        <v>(0.3%)</v>
      </c>
      <c r="T75" s="6"/>
    </row>
    <row r="76" spans="1:20" x14ac:dyDescent="0.3">
      <c r="A76" s="1">
        <v>10</v>
      </c>
      <c r="B76" s="6"/>
      <c r="C76" s="24" t="str">
        <f t="shared" ca="1" si="39"/>
        <v>ifx_w_lu4</v>
      </c>
      <c r="D76" s="10" cm="1">
        <f t="array" aca="1" ref="D76" ca="1">INDIRECT(ADDRESS(ROW($D$38)+$A76,D$63))</f>
        <v>7.15</v>
      </c>
      <c r="E76" s="9" t="str" cm="1">
        <f t="array" aca="1" ref="E76" ca="1">"("&amp;TEXT(INDIRECT(ADDRESS(ROW($D$38)+$A76,D$63+2)),"0.0")&amp;"%)"</f>
        <v>(1.7%)</v>
      </c>
      <c r="F76" s="8" cm="1">
        <f t="array" aca="1" ref="F76" ca="1">INDIRECT(ADDRESS(ROW($D$38)+$A76,F$63))</f>
        <v>3.677</v>
      </c>
      <c r="G76" s="9" t="str" cm="1">
        <f t="array" aca="1" ref="G76" ca="1">"("&amp;TEXT(INDIRECT(ADDRESS(ROW($D$38)+$A76,F$63+2)),"0.0")&amp;"%)"</f>
        <v>(0.5%)</v>
      </c>
      <c r="H76" s="8" cm="1">
        <f t="array" aca="1" ref="H76" ca="1">INDIRECT(ADDRESS(ROW($D$38)+$A76,H$63))</f>
        <v>0</v>
      </c>
      <c r="I76" s="9" t="str" cm="1">
        <f t="array" aca="1" ref="I76" ca="1">"("&amp;TEXT(INDIRECT(ADDRESS(ROW($D$38)+$A76,H$63+2)),"0.0")&amp;"%)"</f>
        <v>(0.0%)</v>
      </c>
      <c r="J76" s="8" cm="1">
        <f t="array" aca="1" ref="J76" ca="1">INDIRECT(ADDRESS(ROW($D$38)+$A76,J$63))</f>
        <v>7.827</v>
      </c>
      <c r="K76" s="11" t="str" cm="1">
        <f t="array" aca="1" ref="K76" ca="1">"("&amp;TEXT(INDIRECT(ADDRESS(ROW($D$38)+$A76,J$63+2)),"0.0")&amp;"%)"</f>
        <v>(0.7%)</v>
      </c>
      <c r="L76" s="16" cm="1">
        <f t="array" aca="1" ref="L76" ca="1">INDIRECT(ADDRESS(ROW($D$38)+$A76,L$63))</f>
        <v>8.9499999999999993</v>
      </c>
      <c r="M76" s="20" t="str" cm="1">
        <f t="array" aca="1" ref="M76" ca="1">"("&amp;TEXT(INDIRECT(ADDRESS(ROW($D$38)+$A76,L$63+2)),"0.0")&amp;"%)"</f>
        <v>(5.5%)</v>
      </c>
      <c r="N76" s="17" cm="1">
        <f t="array" aca="1" ref="N76" ca="1">INDIRECT(ADDRESS(ROW($D$38)+$A76,N$63))</f>
        <v>3.4529999999999998</v>
      </c>
      <c r="O76" s="20" t="str" cm="1">
        <f t="array" aca="1" ref="O76" ca="1">"("&amp;TEXT(INDIRECT(ADDRESS(ROW($D$38)+$A76,N$63+2)),"0.0")&amp;"%)"</f>
        <v>(0.9%)</v>
      </c>
      <c r="P76" s="17" cm="1">
        <f t="array" aca="1" ref="P76" ca="1">INDIRECT(ADDRESS(ROW($D$38)+$A76,P$63))</f>
        <v>0</v>
      </c>
      <c r="Q76" s="20" t="str" cm="1">
        <f t="array" aca="1" ref="Q76" ca="1">"("&amp;TEXT(INDIRECT(ADDRESS(ROW($D$38)+$A76,P$63+2)),"0.0")&amp;"%)"</f>
        <v>(0.0%)</v>
      </c>
      <c r="R76" s="17" cm="1">
        <f t="array" aca="1" ref="R76" ca="1">INDIRECT(ADDRESS(ROW($D$38)+$A76,R$63))</f>
        <v>6.867</v>
      </c>
      <c r="S76" s="22" t="str" cm="1">
        <f t="array" aca="1" ref="S76" ca="1">"("&amp;TEXT(INDIRECT(ADDRESS(ROW($D$38)+$A76,R$63+2)),"0.0")&amp;"%)"</f>
        <v>(0.4%)</v>
      </c>
      <c r="T76" s="6"/>
    </row>
    <row r="77" spans="1:20" ht="25" thickBot="1" x14ac:dyDescent="0.35">
      <c r="A77" s="1">
        <v>11</v>
      </c>
      <c r="B77" s="6"/>
      <c r="C77" s="25" t="str">
        <f t="shared" ca="1" si="39"/>
        <v>ifx_w_lu8</v>
      </c>
      <c r="D77" s="12" cm="1">
        <f t="array" aca="1" ref="D77" ca="1">INDIRECT(ADDRESS(ROW($D$38)+$A77,D$63))</f>
        <v>7.2249999999999996</v>
      </c>
      <c r="E77" s="13" t="str" cm="1">
        <f t="array" aca="1" ref="E77" ca="1">"("&amp;TEXT(INDIRECT(ADDRESS(ROW($D$38)+$A77,D$63+2)),"0.0")&amp;"%)"</f>
        <v>(3.3%)</v>
      </c>
      <c r="F77" s="14" cm="1">
        <f t="array" aca="1" ref="F77" ca="1">INDIRECT(ADDRESS(ROW($D$38)+$A77,F$63))</f>
        <v>3.6360000000000001</v>
      </c>
      <c r="G77" s="13" t="str" cm="1">
        <f t="array" aca="1" ref="G77" ca="1">"("&amp;TEXT(INDIRECT(ADDRESS(ROW($D$38)+$A77,F$63+2)),"0.0")&amp;"%)"</f>
        <v>(0.4%)</v>
      </c>
      <c r="H77" s="14" cm="1">
        <f t="array" aca="1" ref="H77" ca="1">INDIRECT(ADDRESS(ROW($D$38)+$A77,H$63))</f>
        <v>0</v>
      </c>
      <c r="I77" s="13" t="str" cm="1">
        <f t="array" aca="1" ref="I77" ca="1">"("&amp;TEXT(INDIRECT(ADDRESS(ROW($D$38)+$A77,H$63+2)),"0.0")&amp;"%)"</f>
        <v>(0.0%)</v>
      </c>
      <c r="J77" s="14" cm="1">
        <f t="array" aca="1" ref="J77" ca="1">INDIRECT(ADDRESS(ROW($D$38)+$A77,J$63))</f>
        <v>7.9870000000000001</v>
      </c>
      <c r="K77" s="15" t="str" cm="1">
        <f t="array" aca="1" ref="K77" ca="1">"("&amp;TEXT(INDIRECT(ADDRESS(ROW($D$38)+$A77,J$63+2)),"0.0")&amp;"%)"</f>
        <v>(0.7%)</v>
      </c>
      <c r="L77" s="18" cm="1">
        <f t="array" aca="1" ref="L77" ca="1">INDIRECT(ADDRESS(ROW($D$38)+$A77,L$63))</f>
        <v>7.125</v>
      </c>
      <c r="M77" s="21" t="str" cm="1">
        <f t="array" aca="1" ref="M77" ca="1">"("&amp;TEXT(INDIRECT(ADDRESS(ROW($D$38)+$A77,L$63+2)),"0.0")&amp;"%)"</f>
        <v>(1.9%)</v>
      </c>
      <c r="N77" s="19" cm="1">
        <f t="array" aca="1" ref="N77" ca="1">INDIRECT(ADDRESS(ROW($D$38)+$A77,N$63))</f>
        <v>3.4860000000000002</v>
      </c>
      <c r="O77" s="21" t="str" cm="1">
        <f t="array" aca="1" ref="O77" ca="1">"("&amp;TEXT(INDIRECT(ADDRESS(ROW($D$38)+$A77,N$63+2)),"0.0")&amp;"%)"</f>
        <v>(0.6%)</v>
      </c>
      <c r="P77" s="19" cm="1">
        <f t="array" aca="1" ref="P77" ca="1">INDIRECT(ADDRESS(ROW($D$38)+$A77,P$63))</f>
        <v>0</v>
      </c>
      <c r="Q77" s="21" t="str" cm="1">
        <f t="array" aca="1" ref="Q77" ca="1">"("&amp;TEXT(INDIRECT(ADDRESS(ROW($D$38)+$A77,P$63+2)),"0.0")&amp;"%)"</f>
        <v>(0.0%)</v>
      </c>
      <c r="R77" s="19" cm="1">
        <f t="array" aca="1" ref="R77" ca="1">INDIRECT(ADDRESS(ROW($D$38)+$A77,R$63))</f>
        <v>6.843</v>
      </c>
      <c r="S77" s="23" t="str" cm="1">
        <f t="array" aca="1" ref="S77" ca="1">"("&amp;TEXT(INDIRECT(ADDRESS(ROW($D$38)+$A77,R$63+2)),"0.0")&amp;"%)"</f>
        <v>(0.2%)</v>
      </c>
      <c r="T77" s="6"/>
    </row>
    <row r="78" spans="1:20" x14ac:dyDescent="0.3">
      <c r="A78" s="1">
        <v>12</v>
      </c>
      <c r="B78" s="6"/>
      <c r="C78" s="33" t="str">
        <f t="shared" ca="1" si="39"/>
        <v>g++</v>
      </c>
      <c r="D78" s="34" cm="1">
        <f t="array" aca="1" ref="D78" ca="1">INDIRECT(ADDRESS(ROW($D$38)+$A78,D$63))</f>
        <v>8.4459999999999997</v>
      </c>
      <c r="E78" s="35" t="str" cm="1">
        <f t="array" aca="1" ref="E78" ca="1">"("&amp;TEXT(INDIRECT(ADDRESS(ROW($D$38)+$A78,D$63+2)),"0.0")&amp;"%)"</f>
        <v>(0.5%)</v>
      </c>
      <c r="F78" s="36" cm="1">
        <f t="array" aca="1" ref="F78" ca="1">INDIRECT(ADDRESS(ROW($D$38)+$A78,F$63))</f>
        <v>5.52</v>
      </c>
      <c r="G78" s="35" t="str" cm="1">
        <f t="array" aca="1" ref="G78" ca="1">"("&amp;TEXT(INDIRECT(ADDRESS(ROW($D$38)+$A78,F$63+2)),"0.0")&amp;"%)"</f>
        <v>(0.4%)</v>
      </c>
      <c r="H78" s="36" cm="1">
        <f t="array" aca="1" ref="H78" ca="1">INDIRECT(ADDRESS(ROW($D$38)+$A78,H$63))</f>
        <v>13.396000000000001</v>
      </c>
      <c r="I78" s="35" t="str" cm="1">
        <f t="array" aca="1" ref="I78" ca="1">"("&amp;TEXT(INDIRECT(ADDRESS(ROW($D$38)+$A78,H$63+2)),"0.0")&amp;"%)"</f>
        <v>(1.6%)</v>
      </c>
      <c r="J78" s="36" cm="1">
        <f t="array" aca="1" ref="J78" ca="1">INDIRECT(ADDRESS(ROW($D$38)+$A78,J$63))</f>
        <v>9.0920000000000005</v>
      </c>
      <c r="K78" s="37" t="str" cm="1">
        <f t="array" aca="1" ref="K78" ca="1">"("&amp;TEXT(INDIRECT(ADDRESS(ROW($D$38)+$A78,J$63+2)),"0.0")&amp;"%)"</f>
        <v>(0.3%)</v>
      </c>
      <c r="L78" s="38" cm="1">
        <f t="array" aca="1" ref="L78" ca="1">INDIRECT(ADDRESS(ROW($D$38)+$A78,L$63))</f>
        <v>8.5350000000000001</v>
      </c>
      <c r="M78" s="39" t="str" cm="1">
        <f t="array" aca="1" ref="M78" ca="1">"("&amp;TEXT(INDIRECT(ADDRESS(ROW($D$38)+$A78,L$63+2)),"0.0")&amp;"%)"</f>
        <v>(0.6%)</v>
      </c>
      <c r="N78" s="40" cm="1">
        <f t="array" aca="1" ref="N78" ca="1">INDIRECT(ADDRESS(ROW($D$38)+$A78,N$63))</f>
        <v>5.4960000000000004</v>
      </c>
      <c r="O78" s="39" t="str" cm="1">
        <f t="array" aca="1" ref="O78" ca="1">"("&amp;TEXT(INDIRECT(ADDRESS(ROW($D$38)+$A78,N$63+2)),"0.0")&amp;"%)"</f>
        <v>(0.3%)</v>
      </c>
      <c r="P78" s="40" cm="1">
        <f t="array" aca="1" ref="P78" ca="1">INDIRECT(ADDRESS(ROW($D$38)+$A78,P$63))</f>
        <v>13.324</v>
      </c>
      <c r="Q78" s="39" t="str" cm="1">
        <f t="array" aca="1" ref="Q78" ca="1">"("&amp;TEXT(INDIRECT(ADDRESS(ROW($D$38)+$A78,P$63+2)),"0.0")&amp;"%)"</f>
        <v>(1.3%)</v>
      </c>
      <c r="R78" s="40" cm="1">
        <f t="array" aca="1" ref="R78" ca="1">INDIRECT(ADDRESS(ROW($D$38)+$A78,R$63))</f>
        <v>12.423999999999999</v>
      </c>
      <c r="S78" s="41" t="str" cm="1">
        <f t="array" aca="1" ref="S78" ca="1">"("&amp;TEXT(INDIRECT(ADDRESS(ROW($D$38)+$A78,R$63+2)),"0.0")&amp;"%)"</f>
        <v>(0.1%)</v>
      </c>
      <c r="T78" s="6"/>
    </row>
    <row r="79" spans="1:20" x14ac:dyDescent="0.3">
      <c r="A79" s="1">
        <v>13</v>
      </c>
      <c r="B79" s="6"/>
      <c r="C79" s="24" t="str">
        <f t="shared" ca="1" si="39"/>
        <v>g++_o3</v>
      </c>
      <c r="D79" s="10" cm="1">
        <f t="array" aca="1" ref="D79" ca="1">INDIRECT(ADDRESS(ROW($D$38)+$A79,D$63))</f>
        <v>8.5419999999999998</v>
      </c>
      <c r="E79" s="9" t="str" cm="1">
        <f t="array" aca="1" ref="E79" ca="1">"("&amp;TEXT(INDIRECT(ADDRESS(ROW($D$38)+$A79,D$63+2)),"0.0")&amp;"%)"</f>
        <v>(0.8%)</v>
      </c>
      <c r="F79" s="8" cm="1">
        <f t="array" aca="1" ref="F79" ca="1">INDIRECT(ADDRESS(ROW($D$38)+$A79,F$63))</f>
        <v>18.914000000000001</v>
      </c>
      <c r="G79" s="9" t="str" cm="1">
        <f t="array" aca="1" ref="G79" ca="1">"("&amp;TEXT(INDIRECT(ADDRESS(ROW($D$38)+$A79,F$63+2)),"0.0")&amp;"%)"</f>
        <v>(0.1%)</v>
      </c>
      <c r="H79" s="8" cm="1">
        <f t="array" aca="1" ref="H79" ca="1">INDIRECT(ADDRESS(ROW($D$38)+$A79,H$63))</f>
        <v>13.603999999999999</v>
      </c>
      <c r="I79" s="9" t="str" cm="1">
        <f t="array" aca="1" ref="I79" ca="1">"("&amp;TEXT(INDIRECT(ADDRESS(ROW($D$38)+$A79,H$63+2)),"0.0")&amp;"%)"</f>
        <v>(1.4%)</v>
      </c>
      <c r="J79" s="8" cm="1">
        <f t="array" aca="1" ref="J79" ca="1">INDIRECT(ADDRESS(ROW($D$38)+$A79,J$63))</f>
        <v>14.579000000000001</v>
      </c>
      <c r="K79" s="11" t="str" cm="1">
        <f t="array" aca="1" ref="K79" ca="1">"("&amp;TEXT(INDIRECT(ADDRESS(ROW($D$38)+$A79,J$63+2)),"0.0")&amp;"%)"</f>
        <v>(0.2%)</v>
      </c>
      <c r="L79" s="16" cm="1">
        <f t="array" aca="1" ref="L79" ca="1">INDIRECT(ADDRESS(ROW($D$38)+$A79,L$63))</f>
        <v>8.407</v>
      </c>
      <c r="M79" s="20" t="str" cm="1">
        <f t="array" aca="1" ref="M79" ca="1">"("&amp;TEXT(INDIRECT(ADDRESS(ROW($D$38)+$A79,L$63+2)),"0.0")&amp;"%)"</f>
        <v>(0.7%)</v>
      </c>
      <c r="N79" s="17" cm="1">
        <f t="array" aca="1" ref="N79" ca="1">INDIRECT(ADDRESS(ROW($D$38)+$A79,N$63))</f>
        <v>8.2309999999999999</v>
      </c>
      <c r="O79" s="20" t="str" cm="1">
        <f t="array" aca="1" ref="O79" ca="1">"("&amp;TEXT(INDIRECT(ADDRESS(ROW($D$38)+$A79,N$63+2)),"0.0")&amp;"%)"</f>
        <v>(0.1%)</v>
      </c>
      <c r="P79" s="17" cm="1">
        <f t="array" aca="1" ref="P79" ca="1">INDIRECT(ADDRESS(ROW($D$38)+$A79,P$63))</f>
        <v>13.481999999999999</v>
      </c>
      <c r="Q79" s="20" t="str" cm="1">
        <f t="array" aca="1" ref="Q79" ca="1">"("&amp;TEXT(INDIRECT(ADDRESS(ROW($D$38)+$A79,P$63+2)),"0.0")&amp;"%)"</f>
        <v>(1.6%)</v>
      </c>
      <c r="R79" s="17" cm="1">
        <f t="array" aca="1" ref="R79" ca="1">INDIRECT(ADDRESS(ROW($D$38)+$A79,R$63))</f>
        <v>10.707000000000001</v>
      </c>
      <c r="S79" s="22" t="str" cm="1">
        <f t="array" aca="1" ref="S79" ca="1">"("&amp;TEXT(INDIRECT(ADDRESS(ROW($D$38)+$A79,R$63+2)),"0.0")&amp;"%)"</f>
        <v>(0.2%)</v>
      </c>
      <c r="T79" s="6"/>
    </row>
    <row r="80" spans="1:20" x14ac:dyDescent="0.3">
      <c r="A80" s="1">
        <v>14</v>
      </c>
      <c r="B80" s="6"/>
      <c r="C80" s="24" t="str">
        <f t="shared" ca="1" si="39"/>
        <v>g++_w_lu2</v>
      </c>
      <c r="D80" s="10" cm="1">
        <f t="array" aca="1" ref="D80" ca="1">INDIRECT(ADDRESS(ROW($D$38)+$A80,D$63))</f>
        <v>8.42</v>
      </c>
      <c r="E80" s="9" t="str" cm="1">
        <f t="array" aca="1" ref="E80" ca="1">"("&amp;TEXT(INDIRECT(ADDRESS(ROW($D$38)+$A80,D$63+2)),"0.0")&amp;"%)"</f>
        <v>(0.4%)</v>
      </c>
      <c r="F80" s="8" cm="1">
        <f t="array" aca="1" ref="F80" ca="1">INDIRECT(ADDRESS(ROW($D$38)+$A80,F$63))</f>
        <v>5.4930000000000003</v>
      </c>
      <c r="G80" s="9" t="str" cm="1">
        <f t="array" aca="1" ref="G80" ca="1">"("&amp;TEXT(INDIRECT(ADDRESS(ROW($D$38)+$A80,F$63+2)),"0.0")&amp;"%)"</f>
        <v>(0.3%)</v>
      </c>
      <c r="H80" s="8" cm="1">
        <f t="array" aca="1" ref="H80" ca="1">INDIRECT(ADDRESS(ROW($D$38)+$A80,H$63))</f>
        <v>16.076000000000001</v>
      </c>
      <c r="I80" s="9" t="str" cm="1">
        <f t="array" aca="1" ref="I80" ca="1">"("&amp;TEXT(INDIRECT(ADDRESS(ROW($D$38)+$A80,H$63+2)),"0.0")&amp;"%)"</f>
        <v>(1.2%)</v>
      </c>
      <c r="J80" s="8" cm="1">
        <f t="array" aca="1" ref="J80" ca="1">INDIRECT(ADDRESS(ROW($D$38)+$A80,J$63))</f>
        <v>9.1210000000000004</v>
      </c>
      <c r="K80" s="11" t="str" cm="1">
        <f t="array" aca="1" ref="K80" ca="1">"("&amp;TEXT(INDIRECT(ADDRESS(ROW($D$38)+$A80,J$63+2)),"0.0")&amp;"%)"</f>
        <v>(0.4%)</v>
      </c>
      <c r="L80" s="16" cm="1">
        <f t="array" aca="1" ref="L80" ca="1">INDIRECT(ADDRESS(ROW($D$38)+$A80,L$63))</f>
        <v>8.5109999999999992</v>
      </c>
      <c r="M80" s="20" t="str" cm="1">
        <f t="array" aca="1" ref="M80" ca="1">"("&amp;TEXT(INDIRECT(ADDRESS(ROW($D$38)+$A80,L$63+2)),"0.0")&amp;"%)"</f>
        <v>(0.6%)</v>
      </c>
      <c r="N80" s="17" cm="1">
        <f t="array" aca="1" ref="N80" ca="1">INDIRECT(ADDRESS(ROW($D$38)+$A80,N$63))</f>
        <v>5.5010000000000003</v>
      </c>
      <c r="O80" s="20" t="str" cm="1">
        <f t="array" aca="1" ref="O80" ca="1">"("&amp;TEXT(INDIRECT(ADDRESS(ROW($D$38)+$A80,N$63+2)),"0.0")&amp;"%)"</f>
        <v>(0.3%)</v>
      </c>
      <c r="P80" s="17" cm="1">
        <f t="array" aca="1" ref="P80" ca="1">INDIRECT(ADDRESS(ROW($D$38)+$A80,P$63))</f>
        <v>16.504999999999999</v>
      </c>
      <c r="Q80" s="20" t="str" cm="1">
        <f t="array" aca="1" ref="Q80" ca="1">"("&amp;TEXT(INDIRECT(ADDRESS(ROW($D$38)+$A80,P$63+2)),"0.0")&amp;"%)"</f>
        <v>(1.2%)</v>
      </c>
      <c r="R80" s="17" cm="1">
        <f t="array" aca="1" ref="R80" ca="1">INDIRECT(ADDRESS(ROW($D$38)+$A80,R$63))</f>
        <v>11.927</v>
      </c>
      <c r="S80" s="22" t="str" cm="1">
        <f t="array" aca="1" ref="S80" ca="1">"("&amp;TEXT(INDIRECT(ADDRESS(ROW($D$38)+$A80,R$63+2)),"0.0")&amp;"%)"</f>
        <v>(0.1%)</v>
      </c>
      <c r="T80" s="6"/>
    </row>
    <row r="81" spans="1:20" x14ac:dyDescent="0.3">
      <c r="A81" s="1">
        <v>15</v>
      </c>
      <c r="B81" s="6"/>
      <c r="C81" s="24" t="str">
        <f t="shared" ca="1" si="39"/>
        <v>g++_w_lu2_o3</v>
      </c>
      <c r="D81" s="10" cm="1">
        <f t="array" aca="1" ref="D81" ca="1">INDIRECT(ADDRESS(ROW($D$38)+$A81,D$63))</f>
        <v>8.4209999999999994</v>
      </c>
      <c r="E81" s="9" t="str" cm="1">
        <f t="array" aca="1" ref="E81" ca="1">"("&amp;TEXT(INDIRECT(ADDRESS(ROW($D$38)+$A81,D$63+2)),"0.0")&amp;"%)"</f>
        <v>(0.4%)</v>
      </c>
      <c r="F81" s="8" cm="1">
        <f t="array" aca="1" ref="F81" ca="1">INDIRECT(ADDRESS(ROW($D$38)+$A81,F$63))</f>
        <v>5.46</v>
      </c>
      <c r="G81" s="9" t="str" cm="1">
        <f t="array" aca="1" ref="G81" ca="1">"("&amp;TEXT(INDIRECT(ADDRESS(ROW($D$38)+$A81,F$63+2)),"0.0")&amp;"%)"</f>
        <v>(0.3%)</v>
      </c>
      <c r="H81" s="8" cm="1">
        <f t="array" aca="1" ref="H81" ca="1">INDIRECT(ADDRESS(ROW($D$38)+$A81,H$63))</f>
        <v>16.960999999999999</v>
      </c>
      <c r="I81" s="9" t="str" cm="1">
        <f t="array" aca="1" ref="I81" ca="1">"("&amp;TEXT(INDIRECT(ADDRESS(ROW($D$38)+$A81,H$63+2)),"0.0")&amp;"%)"</f>
        <v>(1.0%)</v>
      </c>
      <c r="J81" s="8" cm="1">
        <f t="array" aca="1" ref="J81" ca="1">INDIRECT(ADDRESS(ROW($D$38)+$A81,J$63))</f>
        <v>9.1769999999999996</v>
      </c>
      <c r="K81" s="11" t="str" cm="1">
        <f t="array" aca="1" ref="K81" ca="1">"("&amp;TEXT(INDIRECT(ADDRESS(ROW($D$38)+$A81,J$63+2)),"0.0")&amp;"%)"</f>
        <v>(0.4%)</v>
      </c>
      <c r="L81" s="16" cm="1">
        <f t="array" aca="1" ref="L81" ca="1">INDIRECT(ADDRESS(ROW($D$38)+$A81,L$63))</f>
        <v>8.609</v>
      </c>
      <c r="M81" s="20" t="str" cm="1">
        <f t="array" aca="1" ref="M81" ca="1">"("&amp;TEXT(INDIRECT(ADDRESS(ROW($D$38)+$A81,L$63+2)),"0.0")&amp;"%)"</f>
        <v>(0.8%)</v>
      </c>
      <c r="N81" s="17" cm="1">
        <f t="array" aca="1" ref="N81" ca="1">INDIRECT(ADDRESS(ROW($D$38)+$A81,N$63))</f>
        <v>5.524</v>
      </c>
      <c r="O81" s="20" t="str" cm="1">
        <f t="array" aca="1" ref="O81" ca="1">"("&amp;TEXT(INDIRECT(ADDRESS(ROW($D$38)+$A81,N$63+2)),"0.0")&amp;"%)"</f>
        <v>(0.4%)</v>
      </c>
      <c r="P81" s="17" cm="1">
        <f t="array" aca="1" ref="P81" ca="1">INDIRECT(ADDRESS(ROW($D$38)+$A81,P$63))</f>
        <v>16.859000000000002</v>
      </c>
      <c r="Q81" s="20" t="str" cm="1">
        <f t="array" aca="1" ref="Q81" ca="1">"("&amp;TEXT(INDIRECT(ADDRESS(ROW($D$38)+$A81,P$63+2)),"0.0")&amp;"%)"</f>
        <v>(1.2%)</v>
      </c>
      <c r="R81" s="17" cm="1">
        <f t="array" aca="1" ref="R81" ca="1">INDIRECT(ADDRESS(ROW($D$38)+$A81,R$63))</f>
        <v>11.981999999999999</v>
      </c>
      <c r="S81" s="22" t="str" cm="1">
        <f t="array" aca="1" ref="S81" ca="1">"("&amp;TEXT(INDIRECT(ADDRESS(ROW($D$38)+$A81,R$63+2)),"0.0")&amp;"%)"</f>
        <v>(0.1%)</v>
      </c>
      <c r="T81" s="6"/>
    </row>
    <row r="82" spans="1:20" x14ac:dyDescent="0.3">
      <c r="A82" s="1">
        <v>16</v>
      </c>
      <c r="B82" s="6"/>
      <c r="C82" s="24" t="str">
        <f t="shared" ca="1" si="39"/>
        <v>g++_w_lu4</v>
      </c>
      <c r="D82" s="10" cm="1">
        <f t="array" aca="1" ref="D82" ca="1">INDIRECT(ADDRESS(ROW($D$38)+$A82,D$63))</f>
        <v>8.4710000000000001</v>
      </c>
      <c r="E82" s="9" t="str" cm="1">
        <f t="array" aca="1" ref="E82" ca="1">"("&amp;TEXT(INDIRECT(ADDRESS(ROW($D$38)+$A82,D$63+2)),"0.0")&amp;"%)"</f>
        <v>(0.7%)</v>
      </c>
      <c r="F82" s="8" cm="1">
        <f t="array" aca="1" ref="F82" ca="1">INDIRECT(ADDRESS(ROW($D$38)+$A82,F$63))</f>
        <v>5.5</v>
      </c>
      <c r="G82" s="9" t="str" cm="1">
        <f t="array" aca="1" ref="G82" ca="1">"("&amp;TEXT(INDIRECT(ADDRESS(ROW($D$38)+$A82,F$63+2)),"0.0")&amp;"%)"</f>
        <v>(0.4%)</v>
      </c>
      <c r="H82" s="8" cm="1">
        <f t="array" aca="1" ref="H82" ca="1">INDIRECT(ADDRESS(ROW($D$38)+$A82,H$63))</f>
        <v>17.064</v>
      </c>
      <c r="I82" s="9" t="str" cm="1">
        <f t="array" aca="1" ref="I82" ca="1">"("&amp;TEXT(INDIRECT(ADDRESS(ROW($D$38)+$A82,H$63+2)),"0.0")&amp;"%)"</f>
        <v>(1.2%)</v>
      </c>
      <c r="J82" s="8" cm="1">
        <f t="array" aca="1" ref="J82" ca="1">INDIRECT(ADDRESS(ROW($D$38)+$A82,J$63))</f>
        <v>8.9149999999999991</v>
      </c>
      <c r="K82" s="11" t="str" cm="1">
        <f t="array" aca="1" ref="K82" ca="1">"("&amp;TEXT(INDIRECT(ADDRESS(ROW($D$38)+$A82,J$63+2)),"0.0")&amp;"%)"</f>
        <v>(0.5%)</v>
      </c>
      <c r="L82" s="16" cm="1">
        <f t="array" aca="1" ref="L82" ca="1">INDIRECT(ADDRESS(ROW($D$38)+$A82,L$63))</f>
        <v>8.5649999999999995</v>
      </c>
      <c r="M82" s="20" t="str" cm="1">
        <f t="array" aca="1" ref="M82" ca="1">"("&amp;TEXT(INDIRECT(ADDRESS(ROW($D$38)+$A82,L$63+2)),"0.0")&amp;"%)"</f>
        <v>(0.8%)</v>
      </c>
      <c r="N82" s="17" cm="1">
        <f t="array" aca="1" ref="N82" ca="1">INDIRECT(ADDRESS(ROW($D$38)+$A82,N$63))</f>
        <v>5.5030000000000001</v>
      </c>
      <c r="O82" s="20" t="str" cm="1">
        <f t="array" aca="1" ref="O82" ca="1">"("&amp;TEXT(INDIRECT(ADDRESS(ROW($D$38)+$A82,N$63+2)),"0.0")&amp;"%)"</f>
        <v>(0.4%)</v>
      </c>
      <c r="P82" s="17" cm="1">
        <f t="array" aca="1" ref="P82" ca="1">INDIRECT(ADDRESS(ROW($D$38)+$A82,P$63))</f>
        <v>16.606999999999999</v>
      </c>
      <c r="Q82" s="20" t="str" cm="1">
        <f t="array" aca="1" ref="Q82" ca="1">"("&amp;TEXT(INDIRECT(ADDRESS(ROW($D$38)+$A82,P$63+2)),"0.0")&amp;"%)"</f>
        <v>(1.2%)</v>
      </c>
      <c r="R82" s="17" cm="1">
        <f t="array" aca="1" ref="R82" ca="1">INDIRECT(ADDRESS(ROW($D$38)+$A82,R$63))</f>
        <v>11.959</v>
      </c>
      <c r="S82" s="22" t="str" cm="1">
        <f t="array" aca="1" ref="S82" ca="1">"("&amp;TEXT(INDIRECT(ADDRESS(ROW($D$38)+$A82,R$63+2)),"0.0")&amp;"%)"</f>
        <v>(0.0%)</v>
      </c>
      <c r="T82" s="6"/>
    </row>
    <row r="83" spans="1:20" x14ac:dyDescent="0.3">
      <c r="A83" s="1">
        <v>17</v>
      </c>
      <c r="B83" s="6"/>
      <c r="C83" s="24" t="str">
        <f t="shared" ca="1" si="39"/>
        <v>g++_w_lu8</v>
      </c>
      <c r="D83" s="10" cm="1">
        <f t="array" aca="1" ref="D83" ca="1">INDIRECT(ADDRESS(ROW($D$38)+$A83,D$63))</f>
        <v>8.3859999999999992</v>
      </c>
      <c r="E83" s="9" t="str" cm="1">
        <f t="array" aca="1" ref="E83" ca="1">"("&amp;TEXT(INDIRECT(ADDRESS(ROW($D$38)+$A83,D$63+2)),"0.0")&amp;"%)"</f>
        <v>(0.4%)</v>
      </c>
      <c r="F83" s="8" cm="1">
        <f t="array" aca="1" ref="F83" ca="1">INDIRECT(ADDRESS(ROW($D$38)+$A83,F$63))</f>
        <v>5.4939999999999998</v>
      </c>
      <c r="G83" s="9" t="str" cm="1">
        <f t="array" aca="1" ref="G83" ca="1">"("&amp;TEXT(INDIRECT(ADDRESS(ROW($D$38)+$A83,F$63+2)),"0.0")&amp;"%)"</f>
        <v>(0.3%)</v>
      </c>
      <c r="H83" s="8" cm="1">
        <f t="array" aca="1" ref="H83" ca="1">INDIRECT(ADDRESS(ROW($D$38)+$A83,H$63))</f>
        <v>16.989000000000001</v>
      </c>
      <c r="I83" s="9" t="str" cm="1">
        <f t="array" aca="1" ref="I83" ca="1">"("&amp;TEXT(INDIRECT(ADDRESS(ROW($D$38)+$A83,H$63+2)),"0.0")&amp;"%)"</f>
        <v>(1.3%)</v>
      </c>
      <c r="J83" s="8" cm="1">
        <f t="array" aca="1" ref="J83" ca="1">INDIRECT(ADDRESS(ROW($D$38)+$A83,J$63))</f>
        <v>9.0890000000000004</v>
      </c>
      <c r="K83" s="11" t="str" cm="1">
        <f t="array" aca="1" ref="K83" ca="1">"("&amp;TEXT(INDIRECT(ADDRESS(ROW($D$38)+$A83,J$63+2)),"0.0")&amp;"%)"</f>
        <v>(0.4%)</v>
      </c>
      <c r="L83" s="16" cm="1">
        <f t="array" aca="1" ref="L83" ca="1">INDIRECT(ADDRESS(ROW($D$38)+$A83,L$63))</f>
        <v>8.4770000000000003</v>
      </c>
      <c r="M83" s="20" t="str" cm="1">
        <f t="array" aca="1" ref="M83" ca="1">"("&amp;TEXT(INDIRECT(ADDRESS(ROW($D$38)+$A83,L$63+2)),"0.0")&amp;"%)"</f>
        <v>(0.6%)</v>
      </c>
      <c r="N83" s="17" cm="1">
        <f t="array" aca="1" ref="N83" ca="1">INDIRECT(ADDRESS(ROW($D$38)+$A83,N$63))</f>
        <v>5.52</v>
      </c>
      <c r="O83" s="20" t="str" cm="1">
        <f t="array" aca="1" ref="O83" ca="1">"("&amp;TEXT(INDIRECT(ADDRESS(ROW($D$38)+$A83,N$63+2)),"0.0")&amp;"%)"</f>
        <v>(0.4%)</v>
      </c>
      <c r="P83" s="17" cm="1">
        <f t="array" aca="1" ref="P83" ca="1">INDIRECT(ADDRESS(ROW($D$38)+$A83,P$63))</f>
        <v>16.818000000000001</v>
      </c>
      <c r="Q83" s="20" t="str" cm="1">
        <f t="array" aca="1" ref="Q83" ca="1">"("&amp;TEXT(INDIRECT(ADDRESS(ROW($D$38)+$A83,P$63+2)),"0.0")&amp;"%)"</f>
        <v>(1.6%)</v>
      </c>
      <c r="R83" s="17" cm="1">
        <f t="array" aca="1" ref="R83" ca="1">INDIRECT(ADDRESS(ROW($D$38)+$A83,R$63))</f>
        <v>11.977</v>
      </c>
      <c r="S83" s="22" t="str" cm="1">
        <f t="array" aca="1" ref="S83" ca="1">"("&amp;TEXT(INDIRECT(ADDRESS(ROW($D$38)+$A83,R$63+2)),"0.0")&amp;"%)"</f>
        <v>(0.0%)</v>
      </c>
      <c r="T83" s="6"/>
    </row>
    <row r="84" spans="1:20" x14ac:dyDescent="0.3">
      <c r="A84" s="1">
        <v>18</v>
      </c>
      <c r="B84" s="6"/>
      <c r="C84" s="24" t="str">
        <f t="shared" ca="1" si="39"/>
        <v>icx</v>
      </c>
      <c r="D84" s="10" cm="1">
        <f t="array" aca="1" ref="D84" ca="1">INDIRECT(ADDRESS(ROW($D$38)+$A84,D$63))</f>
        <v>7.35</v>
      </c>
      <c r="E84" s="9" t="str" cm="1">
        <f t="array" aca="1" ref="E84" ca="1">"("&amp;TEXT(INDIRECT(ADDRESS(ROW($D$38)+$A84,D$63+2)),"0.0")&amp;"%)"</f>
        <v>(0.6%)</v>
      </c>
      <c r="F84" s="8" cm="1">
        <f t="array" aca="1" ref="F84" ca="1">INDIRECT(ADDRESS(ROW($D$38)+$A84,F$63))</f>
        <v>3.5590000000000002</v>
      </c>
      <c r="G84" s="9" t="str" cm="1">
        <f t="array" aca="1" ref="G84" ca="1">"("&amp;TEXT(INDIRECT(ADDRESS(ROW($D$38)+$A84,F$63+2)),"0.0")&amp;"%)"</f>
        <v>(0.7%)</v>
      </c>
      <c r="H84" s="8" cm="1">
        <f t="array" aca="1" ref="H84" ca="1">INDIRECT(ADDRESS(ROW($D$38)+$A84,H$63))</f>
        <v>0</v>
      </c>
      <c r="I84" s="9" t="str" cm="1">
        <f t="array" aca="1" ref="I84" ca="1">"("&amp;TEXT(INDIRECT(ADDRESS(ROW($D$38)+$A84,H$63+2)),"0.0")&amp;"%)"</f>
        <v>(0.0%)</v>
      </c>
      <c r="J84" s="8" cm="1">
        <f t="array" aca="1" ref="J84" ca="1">INDIRECT(ADDRESS(ROW($D$38)+$A84,J$63))</f>
        <v>7.5110000000000001</v>
      </c>
      <c r="K84" s="11" t="str" cm="1">
        <f t="array" aca="1" ref="K84" ca="1">"("&amp;TEXT(INDIRECT(ADDRESS(ROW($D$38)+$A84,J$63+2)),"0.0")&amp;"%)"</f>
        <v>(0.5%)</v>
      </c>
      <c r="L84" s="16" cm="1">
        <f t="array" aca="1" ref="L84" ca="1">INDIRECT(ADDRESS(ROW($D$38)+$A84,L$63))</f>
        <v>6.9829999999999997</v>
      </c>
      <c r="M84" s="20" t="str" cm="1">
        <f t="array" aca="1" ref="M84" ca="1">"("&amp;TEXT(INDIRECT(ADDRESS(ROW($D$38)+$A84,L$63+2)),"0.0")&amp;"%)"</f>
        <v>(1.1%)</v>
      </c>
      <c r="N84" s="17" cm="1">
        <f t="array" aca="1" ref="N84" ca="1">INDIRECT(ADDRESS(ROW($D$38)+$A84,N$63))</f>
        <v>3.476</v>
      </c>
      <c r="O84" s="20" t="str" cm="1">
        <f t="array" aca="1" ref="O84" ca="1">"("&amp;TEXT(INDIRECT(ADDRESS(ROW($D$38)+$A84,N$63+2)),"0.0")&amp;"%)"</f>
        <v>(0.8%)</v>
      </c>
      <c r="P84" s="17" cm="1">
        <f t="array" aca="1" ref="P84" ca="1">INDIRECT(ADDRESS(ROW($D$38)+$A84,P$63))</f>
        <v>0</v>
      </c>
      <c r="Q84" s="20" t="str" cm="1">
        <f t="array" aca="1" ref="Q84" ca="1">"("&amp;TEXT(INDIRECT(ADDRESS(ROW($D$38)+$A84,P$63+2)),"0.0")&amp;"%)"</f>
        <v>(0.0%)</v>
      </c>
      <c r="R84" s="17" cm="1">
        <f t="array" aca="1" ref="R84" ca="1">INDIRECT(ADDRESS(ROW($D$38)+$A84,R$63))</f>
        <v>6.883</v>
      </c>
      <c r="S84" s="22" t="str" cm="1">
        <f t="array" aca="1" ref="S84" ca="1">"("&amp;TEXT(INDIRECT(ADDRESS(ROW($D$38)+$A84,R$63+2)),"0.0")&amp;"%)"</f>
        <v>(0.3%)</v>
      </c>
      <c r="T84" s="6"/>
    </row>
    <row r="85" spans="1:20" x14ac:dyDescent="0.3">
      <c r="A85" s="1">
        <v>19</v>
      </c>
      <c r="B85" s="6"/>
      <c r="C85" s="24" t="str">
        <f t="shared" ca="1" si="39"/>
        <v>icx_o3</v>
      </c>
      <c r="D85" s="10" cm="1">
        <f t="array" aca="1" ref="D85" ca="1">INDIRECT(ADDRESS(ROW($D$38)+$A85,D$63))</f>
        <v>7.4240000000000004</v>
      </c>
      <c r="E85" s="9" t="str" cm="1">
        <f t="array" aca="1" ref="E85" ca="1">"("&amp;TEXT(INDIRECT(ADDRESS(ROW($D$38)+$A85,D$63+2)),"0.0")&amp;"%)"</f>
        <v>(1.2%)</v>
      </c>
      <c r="F85" s="8" cm="1">
        <f t="array" aca="1" ref="F85" ca="1">INDIRECT(ADDRESS(ROW($D$38)+$A85,F$63))</f>
        <v>3.5619999999999998</v>
      </c>
      <c r="G85" s="9" t="str" cm="1">
        <f t="array" aca="1" ref="G85" ca="1">"("&amp;TEXT(INDIRECT(ADDRESS(ROW($D$38)+$A85,F$63+2)),"0.0")&amp;"%)"</f>
        <v>(0.8%)</v>
      </c>
      <c r="H85" s="8" cm="1">
        <f t="array" aca="1" ref="H85" ca="1">INDIRECT(ADDRESS(ROW($D$38)+$A85,H$63))</f>
        <v>0</v>
      </c>
      <c r="I85" s="9" t="str" cm="1">
        <f t="array" aca="1" ref="I85" ca="1">"("&amp;TEXT(INDIRECT(ADDRESS(ROW($D$38)+$A85,H$63+2)),"0.0")&amp;"%)"</f>
        <v>(0.0%)</v>
      </c>
      <c r="J85" s="8" cm="1">
        <f t="array" aca="1" ref="J85" ca="1">INDIRECT(ADDRESS(ROW($D$38)+$A85,J$63))</f>
        <v>7.431</v>
      </c>
      <c r="K85" s="11" t="str" cm="1">
        <f t="array" aca="1" ref="K85" ca="1">"("&amp;TEXT(INDIRECT(ADDRESS(ROW($D$38)+$A85,J$63+2)),"0.0")&amp;"%)"</f>
        <v>(0.5%)</v>
      </c>
      <c r="L85" s="16" cm="1">
        <f t="array" aca="1" ref="L85" ca="1">INDIRECT(ADDRESS(ROW($D$38)+$A85,L$63))</f>
        <v>7.0060000000000002</v>
      </c>
      <c r="M85" s="20" t="str" cm="1">
        <f t="array" aca="1" ref="M85" ca="1">"("&amp;TEXT(INDIRECT(ADDRESS(ROW($D$38)+$A85,L$63+2)),"0.0")&amp;"%)"</f>
        <v>(1.0%)</v>
      </c>
      <c r="N85" s="17" cm="1">
        <f t="array" aca="1" ref="N85" ca="1">INDIRECT(ADDRESS(ROW($D$38)+$A85,N$63))</f>
        <v>3.42</v>
      </c>
      <c r="O85" s="20" t="str" cm="1">
        <f t="array" aca="1" ref="O85" ca="1">"("&amp;TEXT(INDIRECT(ADDRESS(ROW($D$38)+$A85,N$63+2)),"0.0")&amp;"%)"</f>
        <v>(1.0%)</v>
      </c>
      <c r="P85" s="17" cm="1">
        <f t="array" aca="1" ref="P85" ca="1">INDIRECT(ADDRESS(ROW($D$38)+$A85,P$63))</f>
        <v>0</v>
      </c>
      <c r="Q85" s="20" t="str" cm="1">
        <f t="array" aca="1" ref="Q85" ca="1">"("&amp;TEXT(INDIRECT(ADDRESS(ROW($D$38)+$A85,P$63+2)),"0.0")&amp;"%)"</f>
        <v>(0.0%)</v>
      </c>
      <c r="R85" s="17" cm="1">
        <f t="array" aca="1" ref="R85" ca="1">INDIRECT(ADDRESS(ROW($D$38)+$A85,R$63))</f>
        <v>6.8659999999999997</v>
      </c>
      <c r="S85" s="22" t="str" cm="1">
        <f t="array" aca="1" ref="S85" ca="1">"("&amp;TEXT(INDIRECT(ADDRESS(ROW($D$38)+$A85,R$63+2)),"0.0")&amp;"%)"</f>
        <v>(0.3%)</v>
      </c>
      <c r="T85" s="6"/>
    </row>
    <row r="86" spans="1:20" x14ac:dyDescent="0.3">
      <c r="A86" s="1">
        <v>20</v>
      </c>
      <c r="B86" s="6"/>
      <c r="C86" s="24" t="str">
        <f t="shared" ca="1" si="39"/>
        <v>icx_w_lu2</v>
      </c>
      <c r="D86" s="10" cm="1">
        <f t="array" aca="1" ref="D86" ca="1">INDIRECT(ADDRESS(ROW($D$38)+$A86,D$63))</f>
        <v>7.2629999999999999</v>
      </c>
      <c r="E86" s="9" t="str" cm="1">
        <f t="array" aca="1" ref="E86" ca="1">"("&amp;TEXT(INDIRECT(ADDRESS(ROW($D$38)+$A86,D$63+2)),"0.0")&amp;"%)"</f>
        <v>(0.5%)</v>
      </c>
      <c r="F86" s="8" cm="1">
        <f t="array" aca="1" ref="F86" ca="1">INDIRECT(ADDRESS(ROW($D$38)+$A86,F$63))</f>
        <v>3.5750000000000002</v>
      </c>
      <c r="G86" s="9" t="str" cm="1">
        <f t="array" aca="1" ref="G86" ca="1">"("&amp;TEXT(INDIRECT(ADDRESS(ROW($D$38)+$A86,F$63+2)),"0.0")&amp;"%)"</f>
        <v>(0.8%)</v>
      </c>
      <c r="H86" s="8" cm="1">
        <f t="array" aca="1" ref="H86" ca="1">INDIRECT(ADDRESS(ROW($D$38)+$A86,H$63))</f>
        <v>0</v>
      </c>
      <c r="I86" s="9" t="str" cm="1">
        <f t="array" aca="1" ref="I86" ca="1">"("&amp;TEXT(INDIRECT(ADDRESS(ROW($D$38)+$A86,H$63+2)),"0.0")&amp;"%)"</f>
        <v>(0.0%)</v>
      </c>
      <c r="J86" s="8" cm="1">
        <f t="array" aca="1" ref="J86" ca="1">INDIRECT(ADDRESS(ROW($D$38)+$A86,J$63))</f>
        <v>7.4969999999999999</v>
      </c>
      <c r="K86" s="11" t="str" cm="1">
        <f t="array" aca="1" ref="K86" ca="1">"("&amp;TEXT(INDIRECT(ADDRESS(ROW($D$38)+$A86,J$63+2)),"0.0")&amp;"%)"</f>
        <v>(0.5%)</v>
      </c>
      <c r="L86" s="16" cm="1">
        <f t="array" aca="1" ref="L86" ca="1">INDIRECT(ADDRESS(ROW($D$38)+$A86,L$63))</f>
        <v>6.9489999999999998</v>
      </c>
      <c r="M86" s="20" t="str" cm="1">
        <f t="array" aca="1" ref="M86" ca="1">"("&amp;TEXT(INDIRECT(ADDRESS(ROW($D$38)+$A86,L$63+2)),"0.0")&amp;"%)"</f>
        <v>(0.9%)</v>
      </c>
      <c r="N86" s="17" cm="1">
        <f t="array" aca="1" ref="N86" ca="1">INDIRECT(ADDRESS(ROW($D$38)+$A86,N$63))</f>
        <v>3.5750000000000002</v>
      </c>
      <c r="O86" s="20" t="str" cm="1">
        <f t="array" aca="1" ref="O86" ca="1">"("&amp;TEXT(INDIRECT(ADDRESS(ROW($D$38)+$A86,N$63+2)),"0.0")&amp;"%)"</f>
        <v>(0.9%)</v>
      </c>
      <c r="P86" s="17" cm="1">
        <f t="array" aca="1" ref="P86" ca="1">INDIRECT(ADDRESS(ROW($D$38)+$A86,P$63))</f>
        <v>0</v>
      </c>
      <c r="Q86" s="20" t="str" cm="1">
        <f t="array" aca="1" ref="Q86" ca="1">"("&amp;TEXT(INDIRECT(ADDRESS(ROW($D$38)+$A86,P$63+2)),"0.0")&amp;"%)"</f>
        <v>(0.0%)</v>
      </c>
      <c r="R86" s="17" cm="1">
        <f t="array" aca="1" ref="R86" ca="1">INDIRECT(ADDRESS(ROW($D$38)+$A86,R$63))</f>
        <v>6.8410000000000002</v>
      </c>
      <c r="S86" s="22" t="str" cm="1">
        <f t="array" aca="1" ref="S86" ca="1">"("&amp;TEXT(INDIRECT(ADDRESS(ROW($D$38)+$A86,R$63+2)),"0.0")&amp;"%)"</f>
        <v>(0.3%)</v>
      </c>
      <c r="T86" s="6"/>
    </row>
    <row r="87" spans="1:20" x14ac:dyDescent="0.3">
      <c r="A87" s="1">
        <v>21</v>
      </c>
      <c r="B87" s="6"/>
      <c r="C87" s="24" t="str">
        <f t="shared" ca="1" si="39"/>
        <v>icx_w_lu2_o3</v>
      </c>
      <c r="D87" s="10" cm="1">
        <f t="array" aca="1" ref="D87" ca="1">INDIRECT(ADDRESS(ROW($D$38)+$A87,D$63))</f>
        <v>7.3170000000000002</v>
      </c>
      <c r="E87" s="9" t="str" cm="1">
        <f t="array" aca="1" ref="E87" ca="1">"("&amp;TEXT(INDIRECT(ADDRESS(ROW($D$38)+$A87,D$63+2)),"0.0")&amp;"%)"</f>
        <v>(0.6%)</v>
      </c>
      <c r="F87" s="8" cm="1">
        <f t="array" aca="1" ref="F87" ca="1">INDIRECT(ADDRESS(ROW($D$38)+$A87,F$63))</f>
        <v>3.5390000000000001</v>
      </c>
      <c r="G87" s="9" t="str" cm="1">
        <f t="array" aca="1" ref="G87" ca="1">"("&amp;TEXT(INDIRECT(ADDRESS(ROW($D$38)+$A87,F$63+2)),"0.0")&amp;"%)"</f>
        <v>(0.7%)</v>
      </c>
      <c r="H87" s="8" cm="1">
        <f t="array" aca="1" ref="H87" ca="1">INDIRECT(ADDRESS(ROW($D$38)+$A87,H$63))</f>
        <v>0</v>
      </c>
      <c r="I87" s="9" t="str" cm="1">
        <f t="array" aca="1" ref="I87" ca="1">"("&amp;TEXT(INDIRECT(ADDRESS(ROW($D$38)+$A87,H$63+2)),"0.0")&amp;"%)"</f>
        <v>(0.0%)</v>
      </c>
      <c r="J87" s="8" cm="1">
        <f t="array" aca="1" ref="J87" ca="1">INDIRECT(ADDRESS(ROW($D$38)+$A87,J$63))</f>
        <v>7.49</v>
      </c>
      <c r="K87" s="11" t="str" cm="1">
        <f t="array" aca="1" ref="K87" ca="1">"("&amp;TEXT(INDIRECT(ADDRESS(ROW($D$38)+$A87,J$63+2)),"0.0")&amp;"%)"</f>
        <v>(0.5%)</v>
      </c>
      <c r="L87" s="16" cm="1">
        <f t="array" aca="1" ref="L87" ca="1">INDIRECT(ADDRESS(ROW($D$38)+$A87,L$63))</f>
        <v>7.0490000000000004</v>
      </c>
      <c r="M87" s="20" t="str" cm="1">
        <f t="array" aca="1" ref="M87" ca="1">"("&amp;TEXT(INDIRECT(ADDRESS(ROW($D$38)+$A87,L$63+2)),"0.0")&amp;"%)"</f>
        <v>(1.0%)</v>
      </c>
      <c r="N87" s="17" cm="1">
        <f t="array" aca="1" ref="N87" ca="1">INDIRECT(ADDRESS(ROW($D$38)+$A87,N$63))</f>
        <v>3.492</v>
      </c>
      <c r="O87" s="20" t="str" cm="1">
        <f t="array" aca="1" ref="O87" ca="1">"("&amp;TEXT(INDIRECT(ADDRESS(ROW($D$38)+$A87,N$63+2)),"0.0")&amp;"%)"</f>
        <v>(0.8%)</v>
      </c>
      <c r="P87" s="17" cm="1">
        <f t="array" aca="1" ref="P87" ca="1">INDIRECT(ADDRESS(ROW($D$38)+$A87,P$63))</f>
        <v>0</v>
      </c>
      <c r="Q87" s="20" t="str" cm="1">
        <f t="array" aca="1" ref="Q87" ca="1">"("&amp;TEXT(INDIRECT(ADDRESS(ROW($D$38)+$A87,P$63+2)),"0.0")&amp;"%)"</f>
        <v>(0.0%)</v>
      </c>
      <c r="R87" s="17" cm="1">
        <f t="array" aca="1" ref="R87" ca="1">INDIRECT(ADDRESS(ROW($D$38)+$A87,R$63))</f>
        <v>6.8780000000000001</v>
      </c>
      <c r="S87" s="22" t="str" cm="1">
        <f t="array" aca="1" ref="S87" ca="1">"("&amp;TEXT(INDIRECT(ADDRESS(ROW($D$38)+$A87,R$63+2)),"0.0")&amp;"%)"</f>
        <v>(0.3%)</v>
      </c>
      <c r="T87" s="6"/>
    </row>
    <row r="88" spans="1:20" x14ac:dyDescent="0.3">
      <c r="A88" s="1">
        <v>22</v>
      </c>
      <c r="B88" s="6"/>
      <c r="C88" s="24" t="str">
        <f t="shared" ca="1" si="39"/>
        <v>icx_w_lu4</v>
      </c>
      <c r="D88" s="10" cm="1">
        <f t="array" aca="1" ref="D88" ca="1">INDIRECT(ADDRESS(ROW($D$38)+$A88,D$63))</f>
        <v>7.4859999999999998</v>
      </c>
      <c r="E88" s="9" t="str" cm="1">
        <f t="array" aca="1" ref="E88" ca="1">"("&amp;TEXT(INDIRECT(ADDRESS(ROW($D$38)+$A88,D$63+2)),"0.0")&amp;"%)"</f>
        <v>(0.7%)</v>
      </c>
      <c r="F88" s="8" cm="1">
        <f t="array" aca="1" ref="F88" ca="1">INDIRECT(ADDRESS(ROW($D$38)+$A88,F$63))</f>
        <v>3.4860000000000002</v>
      </c>
      <c r="G88" s="9" t="str" cm="1">
        <f t="array" aca="1" ref="G88" ca="1">"("&amp;TEXT(INDIRECT(ADDRESS(ROW($D$38)+$A88,F$63+2)),"0.0")&amp;"%)"</f>
        <v>(0.8%)</v>
      </c>
      <c r="H88" s="8" cm="1">
        <f t="array" aca="1" ref="H88" ca="1">INDIRECT(ADDRESS(ROW($D$38)+$A88,H$63))</f>
        <v>0</v>
      </c>
      <c r="I88" s="9" t="str" cm="1">
        <f t="array" aca="1" ref="I88" ca="1">"("&amp;TEXT(INDIRECT(ADDRESS(ROW($D$38)+$A88,H$63+2)),"0.0")&amp;"%)"</f>
        <v>(0.0%)</v>
      </c>
      <c r="J88" s="8" cm="1">
        <f t="array" aca="1" ref="J88" ca="1">INDIRECT(ADDRESS(ROW($D$38)+$A88,J$63))</f>
        <v>7.46</v>
      </c>
      <c r="K88" s="11" t="str" cm="1">
        <f t="array" aca="1" ref="K88" ca="1">"("&amp;TEXT(INDIRECT(ADDRESS(ROW($D$38)+$A88,J$63+2)),"0.0")&amp;"%)"</f>
        <v>(0.6%)</v>
      </c>
      <c r="L88" s="16" cm="1">
        <f t="array" aca="1" ref="L88" ca="1">INDIRECT(ADDRESS(ROW($D$38)+$A88,L$63))</f>
        <v>6.9480000000000004</v>
      </c>
      <c r="M88" s="20" t="str" cm="1">
        <f t="array" aca="1" ref="M88" ca="1">"("&amp;TEXT(INDIRECT(ADDRESS(ROW($D$38)+$A88,L$63+2)),"0.0")&amp;"%)"</f>
        <v>(1.0%)</v>
      </c>
      <c r="N88" s="17" cm="1">
        <f t="array" aca="1" ref="N88" ca="1">INDIRECT(ADDRESS(ROW($D$38)+$A88,N$63))</f>
        <v>3.4670000000000001</v>
      </c>
      <c r="O88" s="20" t="str" cm="1">
        <f t="array" aca="1" ref="O88" ca="1">"("&amp;TEXT(INDIRECT(ADDRESS(ROW($D$38)+$A88,N$63+2)),"0.0")&amp;"%)"</f>
        <v>(1.0%)</v>
      </c>
      <c r="P88" s="17" cm="1">
        <f t="array" aca="1" ref="P88" ca="1">INDIRECT(ADDRESS(ROW($D$38)+$A88,P$63))</f>
        <v>0</v>
      </c>
      <c r="Q88" s="20" t="str" cm="1">
        <f t="array" aca="1" ref="Q88" ca="1">"("&amp;TEXT(INDIRECT(ADDRESS(ROW($D$38)+$A88,P$63+2)),"0.0")&amp;"%)"</f>
        <v>(0.0%)</v>
      </c>
      <c r="R88" s="17" cm="1">
        <f t="array" aca="1" ref="R88" ca="1">INDIRECT(ADDRESS(ROW($D$38)+$A88,R$63))</f>
        <v>6.835</v>
      </c>
      <c r="S88" s="22" t="str" cm="1">
        <f t="array" aca="1" ref="S88" ca="1">"("&amp;TEXT(INDIRECT(ADDRESS(ROW($D$38)+$A88,R$63+2)),"0.0")&amp;"%)"</f>
        <v>(0.3%)</v>
      </c>
      <c r="T88" s="6"/>
    </row>
    <row r="89" spans="1:20" ht="25" thickBot="1" x14ac:dyDescent="0.35">
      <c r="A89" s="1">
        <v>23</v>
      </c>
      <c r="B89" s="6"/>
      <c r="C89" s="25" t="str">
        <f t="shared" ca="1" si="39"/>
        <v>icx_w_lu8</v>
      </c>
      <c r="D89" s="12" cm="1">
        <f t="array" aca="1" ref="D89" ca="1">INDIRECT(ADDRESS(ROW($D$38)+$A89,D$63))</f>
        <v>8.56</v>
      </c>
      <c r="E89" s="13" t="str" cm="1">
        <f t="array" aca="1" ref="E89" ca="1">"("&amp;TEXT(INDIRECT(ADDRESS(ROW($D$38)+$A89,D$63+2)),"0.0")&amp;"%)"</f>
        <v>(0.5%)</v>
      </c>
      <c r="F89" s="14" cm="1">
        <f t="array" aca="1" ref="F89" ca="1">INDIRECT(ADDRESS(ROW($D$38)+$A89,F$63))</f>
        <v>5.5129999999999999</v>
      </c>
      <c r="G89" s="13" t="str" cm="1">
        <f t="array" aca="1" ref="G89" ca="1">"("&amp;TEXT(INDIRECT(ADDRESS(ROW($D$38)+$A89,F$63+2)),"0.0")&amp;"%)"</f>
        <v>(0.3%)</v>
      </c>
      <c r="H89" s="14" cm="1">
        <f t="array" aca="1" ref="H89" ca="1">INDIRECT(ADDRESS(ROW($D$38)+$A89,H$63))</f>
        <v>0</v>
      </c>
      <c r="I89" s="13" t="str" cm="1">
        <f t="array" aca="1" ref="I89" ca="1">"("&amp;TEXT(INDIRECT(ADDRESS(ROW($D$38)+$A89,H$63+2)),"0.0")&amp;"%)"</f>
        <v>(0.0%)</v>
      </c>
      <c r="J89" s="14" cm="1">
        <f t="array" aca="1" ref="J89" ca="1">INDIRECT(ADDRESS(ROW($D$38)+$A89,J$63))</f>
        <v>9.0060000000000002</v>
      </c>
      <c r="K89" s="15" t="str" cm="1">
        <f t="array" aca="1" ref="K89" ca="1">"("&amp;TEXT(INDIRECT(ADDRESS(ROW($D$38)+$A89,J$63+2)),"0.0")&amp;"%)"</f>
        <v>(0.5%)</v>
      </c>
      <c r="L89" s="18" cm="1">
        <f t="array" aca="1" ref="L89" ca="1">INDIRECT(ADDRESS(ROW($D$38)+$A89,L$63))</f>
        <v>9.9320000000000004</v>
      </c>
      <c r="M89" s="21" t="str" cm="1">
        <f t="array" aca="1" ref="M89" ca="1">"("&amp;TEXT(INDIRECT(ADDRESS(ROW($D$38)+$A89,L$63+2)),"0.0")&amp;"%)"</f>
        <v>(0.4%)</v>
      </c>
      <c r="N89" s="19" cm="1">
        <f t="array" aca="1" ref="N89" ca="1">INDIRECT(ADDRESS(ROW($D$38)+$A89,N$63))</f>
        <v>3.5350000000000001</v>
      </c>
      <c r="O89" s="21" t="str" cm="1">
        <f t="array" aca="1" ref="O89" ca="1">"("&amp;TEXT(INDIRECT(ADDRESS(ROW($D$38)+$A89,N$63+2)),"0.0")&amp;"%)"</f>
        <v>(0.8%)</v>
      </c>
      <c r="P89" s="19" cm="1">
        <f t="array" aca="1" ref="P89" ca="1">INDIRECT(ADDRESS(ROW($D$38)+$A89,P$63))</f>
        <v>0</v>
      </c>
      <c r="Q89" s="21" t="str" cm="1">
        <f t="array" aca="1" ref="Q89" ca="1">"("&amp;TEXT(INDIRECT(ADDRESS(ROW($D$38)+$A89,P$63+2)),"0.0")&amp;"%)"</f>
        <v>(0.0%)</v>
      </c>
      <c r="R89" s="19" cm="1">
        <f t="array" aca="1" ref="R89" ca="1">INDIRECT(ADDRESS(ROW($D$38)+$A89,R$63))</f>
        <v>11.977</v>
      </c>
      <c r="S89" s="23" t="str" cm="1">
        <f t="array" aca="1" ref="S89" ca="1">"("&amp;TEXT(INDIRECT(ADDRESS(ROW($D$38)+$A89,R$63+2)),"0.0")&amp;"%)"</f>
        <v>(0.1%)</v>
      </c>
      <c r="T89" s="6"/>
    </row>
    <row r="90" spans="1:20" x14ac:dyDescent="0.3">
      <c r="A90" s="1">
        <v>24</v>
      </c>
      <c r="B90" s="6"/>
      <c r="C90" s="6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</row>
  </sheetData>
  <mergeCells count="8">
    <mergeCell ref="P65:Q65"/>
    <mergeCell ref="R65:S65"/>
    <mergeCell ref="D65:E65"/>
    <mergeCell ref="F65:G65"/>
    <mergeCell ref="H65:I65"/>
    <mergeCell ref="J65:K65"/>
    <mergeCell ref="L65:M65"/>
    <mergeCell ref="N65:O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RawData</vt:lpstr>
      <vt:lpstr>Test1-4</vt:lpstr>
      <vt:lpstr>Test2-5</vt:lpstr>
      <vt:lpstr>Test3-6</vt:lpstr>
      <vt:lpstr>Test4-7</vt:lpstr>
      <vt:lpstr>Test5-8</vt:lpstr>
      <vt:lpstr>Test6-2</vt:lpstr>
      <vt:lpstr>Test7-1</vt:lpstr>
      <vt:lpstr>Test8-3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Izak Cornelius Vermaak</dc:creator>
  <cp:lastModifiedBy>Jan Izak Cornelius Vermaak</cp:lastModifiedBy>
  <dcterms:created xsi:type="dcterms:W3CDTF">2026-04-11T23:16:39Z</dcterms:created>
  <dcterms:modified xsi:type="dcterms:W3CDTF">2026-04-12T14:14:38Z</dcterms:modified>
</cp:coreProperties>
</file>